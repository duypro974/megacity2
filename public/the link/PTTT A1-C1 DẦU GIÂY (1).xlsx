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0730" windowHeight="11160"/>
  </bookViews>
  <sheets>
    <sheet name="A1-C1 ĐẤT TB 06.2026" sheetId="1" r:id="rId1"/>
    <sheet name="ĐẤT VAY VỐN···" sheetId="10" r:id="rId2"/>
    <sheet name="A1-C1 ĐẤT-ĐẤT BT TB 06.2026 VAY" sheetId="8" r:id="rId3"/>
    <sheet name="A1-C1 ĐẤT BT TB 06.2026" sheetId="6" r:id="rId4"/>
    <sheet name="A1-C1 NXS TB 06.2026" sheetId="7" r:id="rId5"/>
    <sheet name="A1-C1 NXS TB 06.2026 VAY" sheetId="9" r:id="rId6"/>
  </sheets>
  <definedNames>
    <definedName name="_xlnm.Print_Area" localSheetId="0">'A1-C1 ĐẤT TB 06.2026'!$A$1:$G$42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B29" i="1"/>
  <c r="B5" i="1"/>
  <c r="D16" i="10"/>
  <c r="C7" i="8"/>
  <c r="C7" i="10"/>
  <c r="C7" i="1"/>
  <c r="C16" i="10" l="1"/>
  <c r="C19" i="10" s="1"/>
  <c r="B13" i="10"/>
  <c r="D12" i="10"/>
  <c r="B10" i="10"/>
  <c r="B17" i="10" s="1"/>
  <c r="B8" i="10"/>
  <c r="B5" i="10"/>
  <c r="C3" i="10"/>
  <c r="D15" i="8"/>
  <c r="D16" i="8"/>
  <c r="D18" i="8"/>
  <c r="C18" i="8"/>
  <c r="D19" i="8"/>
  <c r="C16" i="8"/>
  <c r="C15" i="8"/>
  <c r="B15" i="8"/>
  <c r="B14" i="8"/>
  <c r="C14" i="8"/>
  <c r="C13" i="8"/>
  <c r="B13" i="8"/>
  <c r="G33" i="6"/>
  <c r="G32" i="6"/>
  <c r="G31" i="6"/>
  <c r="G30" i="6"/>
  <c r="F42" i="6"/>
  <c r="F41" i="6"/>
  <c r="F40" i="6"/>
  <c r="F39" i="6"/>
  <c r="F37" i="6"/>
  <c r="F38" i="6"/>
  <c r="F36" i="6"/>
  <c r="F35" i="6"/>
  <c r="F34" i="6"/>
  <c r="F33" i="6"/>
  <c r="F32" i="6"/>
  <c r="F31" i="6"/>
  <c r="F30" i="6"/>
  <c r="B25" i="6"/>
  <c r="B24" i="6"/>
  <c r="B23" i="6"/>
  <c r="B22" i="6"/>
  <c r="B21" i="6"/>
  <c r="B20" i="6"/>
  <c r="B19" i="6"/>
  <c r="B18" i="6"/>
  <c r="C16" i="6"/>
  <c r="C17" i="6"/>
  <c r="B17" i="6"/>
  <c r="C15" i="6"/>
  <c r="C14" i="6"/>
  <c r="B14" i="6"/>
  <c r="C13" i="6"/>
  <c r="B13" i="6"/>
  <c r="B32" i="1"/>
  <c r="C10" i="10" l="1"/>
  <c r="B9" i="10"/>
  <c r="B6" i="10"/>
  <c r="B14" i="10"/>
  <c r="B18" i="10"/>
  <c r="B10" i="8"/>
  <c r="B8" i="8"/>
  <c r="B5" i="8"/>
  <c r="C3" i="8"/>
  <c r="C15" i="10" l="1"/>
  <c r="C18" i="10"/>
  <c r="D18" i="10" s="1"/>
  <c r="C13" i="10"/>
  <c r="D13" i="10" s="1"/>
  <c r="D17" i="10"/>
  <c r="C14" i="10"/>
  <c r="D14" i="10" s="1"/>
  <c r="D15" i="10"/>
  <c r="B19" i="10"/>
  <c r="E10" i="10"/>
  <c r="C10" i="8"/>
  <c r="B9" i="8"/>
  <c r="B6" i="8"/>
  <c r="B8" i="6"/>
  <c r="B31" i="1"/>
  <c r="B33" i="6"/>
  <c r="E12" i="10" l="1"/>
  <c r="D19" i="10"/>
  <c r="B8" i="1"/>
  <c r="C7" i="6" l="1"/>
  <c r="B32" i="6"/>
  <c r="B29" i="6"/>
  <c r="C3" i="6"/>
  <c r="B6" i="1"/>
  <c r="B33" i="1"/>
  <c r="C31" i="1"/>
  <c r="C33" i="1" s="1"/>
  <c r="C3" i="1"/>
  <c r="F37" i="1" l="1"/>
  <c r="F33" i="1"/>
  <c r="F36" i="1"/>
  <c r="F35" i="1"/>
  <c r="F29" i="1"/>
  <c r="F38" i="1"/>
  <c r="F30" i="1"/>
  <c r="F39" i="1"/>
  <c r="F34" i="1"/>
  <c r="G29" i="1"/>
  <c r="G30" i="1"/>
  <c r="G32" i="1"/>
  <c r="G31" i="1"/>
  <c r="F31" i="1"/>
  <c r="B17" i="9"/>
  <c r="D18" i="9"/>
  <c r="D19" i="9"/>
  <c r="C20" i="9"/>
  <c r="C18" i="9"/>
  <c r="C17" i="9"/>
  <c r="G40" i="1" l="1"/>
  <c r="B16" i="9"/>
  <c r="D14" i="9"/>
  <c r="C11" i="9"/>
  <c r="B11" i="9"/>
  <c r="B19" i="9" s="1"/>
  <c r="B9" i="9"/>
  <c r="C12" i="9" s="1"/>
  <c r="B4" i="9"/>
  <c r="B5" i="9" s="1"/>
  <c r="D12" i="8"/>
  <c r="B16" i="8" l="1"/>
  <c r="B18" i="8"/>
  <c r="B10" i="9"/>
  <c r="C16" i="9"/>
  <c r="C15" i="9"/>
  <c r="D16" i="9"/>
  <c r="B6" i="9"/>
  <c r="B15" i="9"/>
  <c r="B18" i="9"/>
  <c r="D17" i="9"/>
  <c r="D41" i="7"/>
  <c r="D39" i="7"/>
  <c r="C39" i="7"/>
  <c r="B39" i="7"/>
  <c r="B38" i="7"/>
  <c r="B19" i="8" l="1"/>
  <c r="D15" i="9"/>
  <c r="D20" i="9" s="1"/>
  <c r="B20" i="9"/>
  <c r="G39" i="7" l="1"/>
  <c r="F39" i="7"/>
  <c r="C33" i="7"/>
  <c r="C34" i="7"/>
  <c r="G29" i="7" s="1"/>
  <c r="C30" i="7"/>
  <c r="C31" i="7"/>
  <c r="C11" i="7"/>
  <c r="B22" i="7" s="1"/>
  <c r="B11" i="7"/>
  <c r="B4" i="7"/>
  <c r="B5" i="7" s="1"/>
  <c r="B6" i="7" s="1"/>
  <c r="B32" i="7"/>
  <c r="B30" i="7"/>
  <c r="B33" i="7" s="1"/>
  <c r="F33" i="7" s="1"/>
  <c r="D14" i="7"/>
  <c r="B9" i="7"/>
  <c r="B10" i="7" s="1"/>
  <c r="B34" i="6"/>
  <c r="C32" i="6"/>
  <c r="B5" i="6"/>
  <c r="B6" i="6" s="1"/>
  <c r="D12" i="6"/>
  <c r="B10" i="6"/>
  <c r="C10" i="6"/>
  <c r="E10" i="6" s="1"/>
  <c r="F32" i="1"/>
  <c r="F40" i="1" s="1"/>
  <c r="D14" i="8" l="1"/>
  <c r="E10" i="8"/>
  <c r="C34" i="6"/>
  <c r="B16" i="6"/>
  <c r="D25" i="6"/>
  <c r="F30" i="7"/>
  <c r="F34" i="7"/>
  <c r="F31" i="7"/>
  <c r="F28" i="7"/>
  <c r="F32" i="7"/>
  <c r="G28" i="7"/>
  <c r="B15" i="7"/>
  <c r="F29" i="7"/>
  <c r="B18" i="7"/>
  <c r="C12" i="7"/>
  <c r="B19" i="7"/>
  <c r="B23" i="7"/>
  <c r="D23" i="7" s="1"/>
  <c r="B16" i="7"/>
  <c r="B20" i="7"/>
  <c r="D20" i="7" s="1"/>
  <c r="B24" i="7"/>
  <c r="B17" i="7"/>
  <c r="B21" i="7"/>
  <c r="D21" i="7" s="1"/>
  <c r="D22" i="7"/>
  <c r="D24" i="7"/>
  <c r="B27" i="7"/>
  <c r="D19" i="7"/>
  <c r="B15" i="6"/>
  <c r="D19" i="6"/>
  <c r="B26" i="6"/>
  <c r="D26" i="6" s="1"/>
  <c r="D17" i="6"/>
  <c r="D20" i="6"/>
  <c r="D18" i="6"/>
  <c r="B30" i="6"/>
  <c r="B31" i="6" s="1"/>
  <c r="D16" i="6"/>
  <c r="D15" i="6"/>
  <c r="B9" i="6"/>
  <c r="F41" i="1"/>
  <c r="D12" i="1"/>
  <c r="B10" i="1"/>
  <c r="B9" i="1"/>
  <c r="B23" i="1" l="1"/>
  <c r="D23" i="1" s="1"/>
  <c r="B13" i="1"/>
  <c r="B22" i="1"/>
  <c r="D22" i="1" s="1"/>
  <c r="B18" i="1"/>
  <c r="B21" i="1"/>
  <c r="D21" i="1" s="1"/>
  <c r="B20" i="1"/>
  <c r="D20" i="1" s="1"/>
  <c r="B19" i="1"/>
  <c r="D19" i="1" s="1"/>
  <c r="B34" i="1"/>
  <c r="B35" i="1" s="1"/>
  <c r="D13" i="8"/>
  <c r="C19" i="8"/>
  <c r="D14" i="6"/>
  <c r="F43" i="6"/>
  <c r="B35" i="6" s="1"/>
  <c r="B36" i="6" s="1"/>
  <c r="B43" i="6" s="1"/>
  <c r="B27" i="6"/>
  <c r="B24" i="1"/>
  <c r="D24" i="1" s="1"/>
  <c r="F38" i="7"/>
  <c r="B28" i="7"/>
  <c r="B29" i="7"/>
  <c r="C18" i="7"/>
  <c r="C17" i="7"/>
  <c r="D17" i="7" s="1"/>
  <c r="C16" i="7"/>
  <c r="D16" i="7" s="1"/>
  <c r="C15" i="7"/>
  <c r="D15" i="7" s="1"/>
  <c r="D18" i="7"/>
  <c r="G38" i="7"/>
  <c r="C35" i="7" s="1"/>
  <c r="C36" i="7" s="1"/>
  <c r="B25" i="7"/>
  <c r="B35" i="7"/>
  <c r="B36" i="7" s="1"/>
  <c r="D13" i="6"/>
  <c r="C27" i="6"/>
  <c r="G41" i="1"/>
  <c r="B28" i="1"/>
  <c r="B25" i="1"/>
  <c r="D25" i="1" s="1"/>
  <c r="B14" i="1"/>
  <c r="D18" i="1"/>
  <c r="B15" i="1"/>
  <c r="C10" i="1"/>
  <c r="C17" i="1" s="1"/>
  <c r="B16" i="1"/>
  <c r="B17" i="1"/>
  <c r="E10" i="1" l="1"/>
  <c r="D17" i="1"/>
  <c r="C16" i="1"/>
  <c r="D16" i="1" s="1"/>
  <c r="C15" i="1"/>
  <c r="D15" i="1" s="1"/>
  <c r="C14" i="1"/>
  <c r="D14" i="1" s="1"/>
  <c r="C13" i="1"/>
  <c r="D13" i="1" s="1"/>
  <c r="E12" i="8"/>
  <c r="B40" i="1"/>
  <c r="B41" i="1"/>
  <c r="D27" i="6"/>
  <c r="B42" i="6"/>
  <c r="B44" i="6" s="1"/>
  <c r="C34" i="1"/>
  <c r="C35" i="1" s="1"/>
  <c r="C41" i="1" s="1"/>
  <c r="F45" i="1"/>
  <c r="B40" i="7"/>
  <c r="C38" i="7"/>
  <c r="C25" i="7"/>
  <c r="D25" i="7"/>
  <c r="B26" i="1"/>
  <c r="D26" i="1" l="1"/>
  <c r="D41" i="1"/>
  <c r="B42" i="1"/>
  <c r="C40" i="1"/>
  <c r="D40" i="1" s="1"/>
  <c r="D42" i="1" s="1"/>
  <c r="C41" i="7"/>
  <c r="D40" i="7"/>
  <c r="B41" i="7"/>
  <c r="D38" i="7"/>
  <c r="F46" i="1"/>
  <c r="C26" i="1"/>
  <c r="G42" i="6"/>
  <c r="G43" i="6"/>
  <c r="C35" i="6" s="1"/>
  <c r="C36" i="6" s="1"/>
  <c r="C42" i="1" l="1"/>
  <c r="C42" i="6"/>
  <c r="C43" i="6"/>
  <c r="D43" i="6" s="1"/>
  <c r="F46" i="6"/>
  <c r="D42" i="6" l="1"/>
  <c r="D44" i="6" s="1"/>
  <c r="C44" i="6"/>
</calcChain>
</file>

<file path=xl/sharedStrings.xml><?xml version="1.0" encoding="utf-8"?>
<sst xmlns="http://schemas.openxmlformats.org/spreadsheetml/2006/main" count="268" uniqueCount="101">
  <si>
    <t>LÔ - Ô</t>
  </si>
  <si>
    <t>ĐƠN GIÁ</t>
  </si>
  <si>
    <t>CK SỈ</t>
  </si>
  <si>
    <t>GIÁ SAU CK</t>
  </si>
  <si>
    <t>TIỀN CỌC</t>
  </si>
  <si>
    <t>ĐỢT 2</t>
  </si>
  <si>
    <t>ĐỢT 3</t>
  </si>
  <si>
    <t>ĐỢT 4</t>
  </si>
  <si>
    <t>ĐỢT 5</t>
  </si>
  <si>
    <t>TỔNG</t>
  </si>
  <si>
    <t>GIÁ ĐẤT</t>
  </si>
  <si>
    <t>GIÁ CÒN LẠI</t>
  </si>
  <si>
    <t>ĐỢT 6</t>
  </si>
  <si>
    <t>ĐỢT 7</t>
  </si>
  <si>
    <t>CHIẾT KHẤU VÀNG - VAY</t>
  </si>
  <si>
    <t>ĐỢT 8</t>
  </si>
  <si>
    <t>ĐỢT 9</t>
  </si>
  <si>
    <t>BẢNG TÍNH THANH TOÁN DỰ ÁN KDC A1-C1</t>
  </si>
  <si>
    <t>CHIẾT KHẤU VÀNG - VTC</t>
  </si>
  <si>
    <t>CK 2%</t>
  </si>
  <si>
    <t>GIÁ SAU CK 2%</t>
  </si>
  <si>
    <t>GIÁ HDDV</t>
  </si>
  <si>
    <t>TỔNG THANH TOÁN
(HĐNT+HDDV)</t>
  </si>
  <si>
    <t>THANH TOÁN TIẾN ĐỘ 
HĐNT</t>
  </si>
  <si>
    <t>THANH TOÁN TIẾN ĐỘ 
HĐDV</t>
  </si>
  <si>
    <r>
      <t xml:space="preserve">TIỀN CỌC
</t>
    </r>
    <r>
      <rPr>
        <i/>
        <sz val="11"/>
        <color theme="1"/>
        <rFont val="Times New Roman"/>
        <family val="1"/>
      </rPr>
      <t>Ngay khi ký Phiếu xác nhận cọc</t>
    </r>
  </si>
  <si>
    <r>
      <t xml:space="preserve">TT ĐỢT 5 - 10% HĐNT
</t>
    </r>
    <r>
      <rPr>
        <i/>
        <sz val="11"/>
        <color theme="1"/>
        <rFont val="Times New Roman"/>
        <family val="1"/>
      </rPr>
      <t>30 ngày kể từ ngày đến hạn thanh toán đợt 4</t>
    </r>
  </si>
  <si>
    <r>
      <t xml:space="preserve">TT ĐỢT CUỐI - 5%
</t>
    </r>
    <r>
      <rPr>
        <i/>
        <sz val="11"/>
        <color theme="1"/>
        <rFont val="Times New Roman"/>
        <family val="1"/>
      </rPr>
      <t>Thông báo ra sổ khách hàng</t>
    </r>
  </si>
  <si>
    <t>THANH TOÁN 95%
HĐNT</t>
  </si>
  <si>
    <t>THANH TOÁN 95%
HĐDV</t>
  </si>
  <si>
    <t>TỔNG THANH TOÁN 95%
(HĐNT+HDDV)</t>
  </si>
  <si>
    <t>TỔNG GIÁ TRỊ SP</t>
  </si>
  <si>
    <t>CHIẾT KHẤU 16%</t>
  </si>
  <si>
    <t>HĐNT</t>
  </si>
  <si>
    <t>HDDV</t>
  </si>
  <si>
    <t>TT ĐỢT 1: 95% HĐNT+95% HDDV
(đã trừ tiền đặt cọc)</t>
  </si>
  <si>
    <r>
      <t>TT ĐỢT 2 - 5% HĐNT (</t>
    </r>
    <r>
      <rPr>
        <i/>
        <sz val="11"/>
        <color theme="1"/>
        <rFont val="Times New Roman"/>
        <family val="1"/>
      </rPr>
      <t xml:space="preserve">Thông báo ra sổ khách hàng) + </t>
    </r>
    <r>
      <rPr>
        <b/>
        <sz val="11"/>
        <color theme="1"/>
        <rFont val="Times New Roman"/>
        <family val="1"/>
      </rPr>
      <t xml:space="preserve">5% HDDV </t>
    </r>
    <r>
      <rPr>
        <sz val="11"/>
        <color theme="1"/>
        <rFont val="Times New Roman"/>
        <family val="1"/>
      </rPr>
      <t xml:space="preserve"> (</t>
    </r>
    <r>
      <rPr>
        <i/>
        <sz val="11"/>
        <color theme="1"/>
        <rFont val="Times New Roman"/>
        <family val="1"/>
      </rPr>
      <t>Thanh toán khi ký HĐCN/HĐMB)</t>
    </r>
  </si>
  <si>
    <r>
      <t xml:space="preserve">TT ĐỢT 1: 95% HĐNT+95% HDDV
</t>
    </r>
    <r>
      <rPr>
        <i/>
        <sz val="11"/>
        <color theme="1"/>
        <rFont val="Times New Roman"/>
        <family val="1"/>
      </rPr>
      <t>7 ngày kể từ ngày cọc, ký HĐ</t>
    </r>
    <r>
      <rPr>
        <b/>
        <sz val="11"/>
        <color theme="1"/>
        <rFont val="Times New Roman"/>
        <family val="1"/>
      </rPr>
      <t xml:space="preserve">
(đã trừ tiền đặt cọc)</t>
    </r>
  </si>
  <si>
    <r>
      <rPr>
        <b/>
        <sz val="11"/>
        <color theme="1"/>
        <rFont val="Times New Roman"/>
        <family val="1"/>
      </rPr>
      <t>TT ĐỢT 3</t>
    </r>
    <r>
      <rPr>
        <i/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 xml:space="preserve">10% HĐNT
</t>
    </r>
    <r>
      <rPr>
        <i/>
        <sz val="11"/>
        <color theme="1"/>
        <rFont val="Times New Roman"/>
        <family val="1"/>
      </rPr>
      <t>45 ngày kể từ ngày đến hạn thanh toán đợt 2</t>
    </r>
    <r>
      <rPr>
        <b/>
        <sz val="11"/>
        <color theme="1"/>
        <rFont val="Times New Roman"/>
        <family val="1"/>
      </rPr>
      <t xml:space="preserve">
+ 30% HDDV</t>
    </r>
    <r>
      <rPr>
        <i/>
        <sz val="11"/>
        <color theme="1"/>
        <rFont val="Times New Roman"/>
        <family val="1"/>
      </rPr>
      <t xml:space="preserve">
30 ngày kể từ ngày đến hạn thanh toán đợt 2</t>
    </r>
  </si>
  <si>
    <r>
      <t xml:space="preserve">TT ĐỢT 2: 10% HĐNT
</t>
    </r>
    <r>
      <rPr>
        <i/>
        <sz val="11"/>
        <color theme="1"/>
        <rFont val="Times New Roman"/>
        <family val="1"/>
      </rPr>
      <t>45 ngày kể từ ngày đến hạn thanh toán đợt 1</t>
    </r>
    <r>
      <rPr>
        <b/>
        <sz val="11"/>
        <color theme="1"/>
        <rFont val="Times New Roman"/>
        <family val="1"/>
      </rPr>
      <t xml:space="preserve">
+ 30% HDDV
</t>
    </r>
    <r>
      <rPr>
        <i/>
        <sz val="11"/>
        <color theme="1"/>
        <rFont val="Times New Roman"/>
        <family val="1"/>
      </rPr>
      <t>30 ngày kể từ ngày đến hạn thanh toán đợt 1</t>
    </r>
  </si>
  <si>
    <t>LK15-28</t>
  </si>
  <si>
    <t>152 m2 (DT)</t>
  </si>
  <si>
    <t>GIÁ CÔNG TRÌNH</t>
  </si>
  <si>
    <r>
      <t xml:space="preserve">TT ĐỢT 1:20% HĐNT+35% HDDV
</t>
    </r>
    <r>
      <rPr>
        <sz val="11"/>
        <color theme="1"/>
        <rFont val="Times New Roman"/>
        <family val="1"/>
      </rPr>
      <t xml:space="preserve">7 ngày kể từ ngày cọc, ký HĐ
</t>
    </r>
    <r>
      <rPr>
        <i/>
        <sz val="11"/>
        <color theme="1"/>
        <rFont val="Times New Roman"/>
        <family val="1"/>
      </rPr>
      <t>(đã trừ tiền đặt cọc)</t>
    </r>
  </si>
  <si>
    <r>
      <t xml:space="preserve">TT ĐỢT 5 - 5% HĐNT
</t>
    </r>
    <r>
      <rPr>
        <i/>
        <sz val="11"/>
        <color theme="1"/>
        <rFont val="Times New Roman"/>
        <family val="1"/>
      </rPr>
      <t>45 ngày kể từ ngày đến hạn thanh toán đợt 4</t>
    </r>
  </si>
  <si>
    <r>
      <t xml:space="preserve">TT ĐỢT 6 - 5%
</t>
    </r>
    <r>
      <rPr>
        <i/>
        <sz val="11"/>
        <color theme="1"/>
        <rFont val="Times New Roman"/>
        <family val="1"/>
      </rPr>
      <t>45 ngày kể từ ngày đến hạn thanh toán đợt 5</t>
    </r>
  </si>
  <si>
    <r>
      <t xml:space="preserve">TT ĐỢT 7 - 5%
</t>
    </r>
    <r>
      <rPr>
        <i/>
        <sz val="11"/>
        <color theme="1"/>
        <rFont val="Times New Roman"/>
        <family val="1"/>
      </rPr>
      <t>45 ngày kể từ ngày đến hạn thanh toán đợt 6</t>
    </r>
  </si>
  <si>
    <r>
      <t xml:space="preserve">TT ĐỢT 9 - 25%
</t>
    </r>
    <r>
      <rPr>
        <i/>
        <sz val="11"/>
        <color theme="1"/>
        <rFont val="Times New Roman"/>
        <family val="1"/>
      </rPr>
      <t>Thông báo bàn giao nhà và nhận nhà</t>
    </r>
  </si>
  <si>
    <r>
      <t xml:space="preserve">TT ĐỢT 4:10% HĐNT </t>
    </r>
    <r>
      <rPr>
        <i/>
        <sz val="11"/>
        <color theme="1"/>
        <rFont val="Times New Roman"/>
        <family val="1"/>
      </rPr>
      <t>(45 ngày kể từ ngày đến hạn thanh toán đợt 3)</t>
    </r>
    <r>
      <rPr>
        <b/>
        <sz val="11"/>
        <color theme="1"/>
        <rFont val="Times New Roman"/>
        <family val="1"/>
      </rPr>
      <t xml:space="preserve">
+5% HDDV (</t>
    </r>
    <r>
      <rPr>
        <i/>
        <sz val="11"/>
        <color theme="1"/>
        <rFont val="Times New Roman"/>
        <family val="1"/>
      </rPr>
      <t>Thanh toán khi ký HĐCN/HĐMB)</t>
    </r>
  </si>
  <si>
    <r>
      <t xml:space="preserve">TT ĐỢT 8 - 5%
</t>
    </r>
    <r>
      <rPr>
        <i/>
        <sz val="11"/>
        <color theme="1"/>
        <rFont val="Times New Roman"/>
        <family val="1"/>
      </rPr>
      <t>30 ngày kể từ ngày đến hạn thanh toán đợt 7</t>
    </r>
  </si>
  <si>
    <t>TT ĐỢT 1: 70% HĐNT+95% HDDV
(đã trừ tiền đặt cọc)</t>
  </si>
  <si>
    <r>
      <t xml:space="preserve">TT ĐỢT 2: 25% HĐNT
</t>
    </r>
    <r>
      <rPr>
        <i/>
        <sz val="11"/>
        <color theme="1"/>
        <rFont val="Times New Roman"/>
        <family val="1"/>
      </rPr>
      <t xml:space="preserve">Thông báo bàn giao nhà và nhận nhà
</t>
    </r>
    <r>
      <rPr>
        <b/>
        <sz val="11"/>
        <color theme="1"/>
        <rFont val="Times New Roman"/>
        <family val="1"/>
      </rPr>
      <t xml:space="preserve">+5% HDDV
</t>
    </r>
    <r>
      <rPr>
        <i/>
        <sz val="11"/>
        <color theme="1"/>
        <rFont val="Times New Roman"/>
        <family val="1"/>
      </rPr>
      <t>(Thanh toán khi ký HĐCN/HĐMB)</t>
    </r>
  </si>
  <si>
    <r>
      <t>TT ĐỢT 3 - 5% HĐNT (</t>
    </r>
    <r>
      <rPr>
        <i/>
        <sz val="11"/>
        <color theme="1"/>
        <rFont val="Times New Roman"/>
        <family val="1"/>
      </rPr>
      <t xml:space="preserve">Thông báo ra sổ khách hàng) </t>
    </r>
  </si>
  <si>
    <r>
      <t>TT ĐỢT 4: 5% HĐNT (</t>
    </r>
    <r>
      <rPr>
        <i/>
        <sz val="11"/>
        <color theme="1"/>
        <rFont val="Times New Roman"/>
        <family val="1"/>
      </rPr>
      <t>NH GN - TB ra sổ Khách hàng</t>
    </r>
    <r>
      <rPr>
        <b/>
        <sz val="11"/>
        <color theme="1"/>
        <rFont val="Times New Roman"/>
        <family val="1"/>
      </rPr>
      <t>)
+5% HDDV</t>
    </r>
    <r>
      <rPr>
        <i/>
        <sz val="11"/>
        <color theme="1"/>
        <rFont val="Times New Roman"/>
        <family val="1"/>
      </rPr>
      <t xml:space="preserve"> (Thanh toán khi ký HĐCN/HĐMB)</t>
    </r>
  </si>
  <si>
    <t>THANH TOÁN TIẾN ĐỘ VAY
HĐNT</t>
  </si>
  <si>
    <t>THANH TOÁN TIẾN ĐỘ 
VTC HĐDV</t>
  </si>
  <si>
    <t>THANH TOÁN TIẾN ĐỘ 
VAY HĐNT</t>
  </si>
  <si>
    <r>
      <t xml:space="preserve">TT ĐỢT 2: 10% HĐNT
</t>
    </r>
    <r>
      <rPr>
        <i/>
        <sz val="11"/>
        <color theme="1"/>
        <rFont val="Times New Roman"/>
        <family val="1"/>
      </rPr>
      <t>30 ngày kể từ ngày đến hạn thanh toán đợt 1</t>
    </r>
    <r>
      <rPr>
        <b/>
        <sz val="11"/>
        <color theme="1"/>
        <rFont val="Times New Roman"/>
        <family val="1"/>
      </rPr>
      <t xml:space="preserve">
+ 30% HDDV
</t>
    </r>
    <r>
      <rPr>
        <i/>
        <sz val="11"/>
        <color theme="1"/>
        <rFont val="Times New Roman"/>
        <family val="1"/>
      </rPr>
      <t>30 ngày kể từ ngày đến hạn thanh toán đợt 1</t>
    </r>
  </si>
  <si>
    <r>
      <rPr>
        <b/>
        <sz val="11"/>
        <color theme="1"/>
        <rFont val="Times New Roman"/>
        <family val="1"/>
      </rPr>
      <t>TT ĐỢT 3</t>
    </r>
    <r>
      <rPr>
        <i/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40% HĐNT (NH GN LẦN 1)
+ 30% HDDV</t>
    </r>
    <r>
      <rPr>
        <i/>
        <sz val="11"/>
        <color theme="1"/>
        <rFont val="Times New Roman"/>
        <family val="1"/>
      </rPr>
      <t xml:space="preserve">
30 ngày kể từ ngày đến hạn thanh toán đợt 2</t>
    </r>
  </si>
  <si>
    <r>
      <t xml:space="preserve">TT ĐỢT 4 - 25% HĐNT </t>
    </r>
    <r>
      <rPr>
        <i/>
        <sz val="11"/>
        <color theme="1"/>
        <rFont val="Times New Roman"/>
        <family val="1"/>
      </rPr>
      <t>(NH GN LẦN 2 khi có thông báo bàn giao nhà)</t>
    </r>
    <r>
      <rPr>
        <b/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Thông báo bàn giao nhà và nhận nhà</t>
    </r>
    <r>
      <rPr>
        <b/>
        <sz val="11"/>
        <color theme="1"/>
        <rFont val="Times New Roman"/>
        <family val="1"/>
      </rPr>
      <t xml:space="preserve">
+ 5% HDDV</t>
    </r>
    <r>
      <rPr>
        <i/>
        <sz val="11"/>
        <color theme="1"/>
        <rFont val="Times New Roman"/>
        <family val="1"/>
      </rPr>
      <t xml:space="preserve"> (Thanh toán khi ký HĐCN/HĐMB)</t>
    </r>
  </si>
  <si>
    <t>nhập HDDC chưA TRỪ 2% trên CRM</t>
  </si>
  <si>
    <t>BT29-1</t>
  </si>
  <si>
    <t>LK14C -54</t>
  </si>
  <si>
    <t>5,5 CHỈ</t>
  </si>
  <si>
    <r>
      <t xml:space="preserve">TT ĐỢT 1:20% HĐNT+25% HDDV
</t>
    </r>
    <r>
      <rPr>
        <i/>
        <sz val="11"/>
        <color theme="1"/>
        <rFont val="Times New Roman"/>
        <family val="1"/>
      </rPr>
      <t>7 ngày kể từ ngày cọc, ký HĐ
(đã trừ tiền đặt cọc)</t>
    </r>
  </si>
  <si>
    <r>
      <t xml:space="preserve">TT ĐỢT 2: 10% HĐNT+25% HDDV
</t>
    </r>
    <r>
      <rPr>
        <i/>
        <sz val="11"/>
        <color theme="1"/>
        <rFont val="Times New Roman"/>
        <family val="1"/>
      </rPr>
      <t>30 ngày kể từ ngày đến hạn thanh toán đợt 1</t>
    </r>
  </si>
  <si>
    <r>
      <t xml:space="preserve">TT ĐỢT 3: 10% HĐNT+25% HDDV
</t>
    </r>
    <r>
      <rPr>
        <i/>
        <sz val="11"/>
        <color theme="1"/>
        <rFont val="Times New Roman"/>
        <family val="1"/>
      </rPr>
      <t>30 ngày kể từ ngày đến hạn thanh toán đợt 2</t>
    </r>
  </si>
  <si>
    <r>
      <t>TT ĐỢT 4:10% HĐNT +20% HĐV</t>
    </r>
    <r>
      <rPr>
        <i/>
        <sz val="11"/>
        <color theme="1"/>
        <rFont val="Times New Roman"/>
        <family val="1"/>
      </rPr>
      <t>(30 ngày kể từ ngày đến hạn thanh toán đợt 3)</t>
    </r>
    <r>
      <rPr>
        <b/>
        <sz val="11"/>
        <color theme="1"/>
        <rFont val="Times New Roman"/>
        <family val="1"/>
      </rPr>
      <t xml:space="preserve">
+5% HDDV </t>
    </r>
    <r>
      <rPr>
        <i/>
        <sz val="11"/>
        <color theme="1"/>
        <rFont val="Times New Roman"/>
        <family val="1"/>
      </rPr>
      <t>(Thanh toán khi ký HĐCN/HĐMB)</t>
    </r>
  </si>
  <si>
    <r>
      <t xml:space="preserve">TT ĐỢT 6 - 5%
</t>
    </r>
    <r>
      <rPr>
        <i/>
        <sz val="11"/>
        <color theme="1"/>
        <rFont val="Times New Roman"/>
        <family val="1"/>
      </rPr>
      <t>30 ngày kể từ ngày đến hạn thanh toán đợt 5</t>
    </r>
  </si>
  <si>
    <r>
      <t xml:space="preserve">TT ĐỢT 7 - 5%
</t>
    </r>
    <r>
      <rPr>
        <i/>
        <sz val="11"/>
        <color theme="1"/>
        <rFont val="Times New Roman"/>
        <family val="1"/>
      </rPr>
      <t>30 ngày kể từ ngày đến hạn thanh toán đợt 6</t>
    </r>
  </si>
  <si>
    <r>
      <t xml:space="preserve">TT ĐỢT 9 - 5%
</t>
    </r>
    <r>
      <rPr>
        <i/>
        <sz val="11"/>
        <color theme="1"/>
        <rFont val="Times New Roman"/>
        <family val="1"/>
      </rPr>
      <t>30 ngày kể từ ngày đến hạn thanh toán đợt 8</t>
    </r>
    <r>
      <rPr>
        <sz val="11"/>
        <color theme="1"/>
        <rFont val="Calibri"/>
        <family val="2"/>
        <scheme val="minor"/>
      </rPr>
      <t/>
    </r>
  </si>
  <si>
    <r>
      <t xml:space="preserve">TT ĐỢT 10 - 5%
</t>
    </r>
    <r>
      <rPr>
        <i/>
        <sz val="11"/>
        <color theme="1"/>
        <rFont val="Times New Roman"/>
        <family val="1"/>
      </rPr>
      <t>30 ngày kể từ ngày đến hạn thanh toán đợt 9</t>
    </r>
    <r>
      <rPr>
        <sz val="11"/>
        <color theme="1"/>
        <rFont val="Calibri"/>
        <family val="2"/>
        <scheme val="minor"/>
      </rPr>
      <t/>
    </r>
  </si>
  <si>
    <r>
      <t xml:space="preserve">TT ĐỢT 11 - 5%
</t>
    </r>
    <r>
      <rPr>
        <i/>
        <sz val="11"/>
        <color theme="1"/>
        <rFont val="Times New Roman"/>
        <family val="1"/>
      </rPr>
      <t>30 ngày kể từ ngày đến hạn thanh toán đợt 10</t>
    </r>
    <r>
      <rPr>
        <sz val="11"/>
        <color theme="1"/>
        <rFont val="Calibri"/>
        <family val="2"/>
        <scheme val="minor"/>
      </rPr>
      <t/>
    </r>
  </si>
  <si>
    <r>
      <t xml:space="preserve">TT ĐỢT 12 - 5%
</t>
    </r>
    <r>
      <rPr>
        <i/>
        <sz val="11"/>
        <color theme="1"/>
        <rFont val="Times New Roman"/>
        <family val="1"/>
      </rPr>
      <t>30 ngày kể từ ngày đến hạn thanh toán đợt 8</t>
    </r>
  </si>
  <si>
    <t>ĐỢT 10</t>
  </si>
  <si>
    <t>ĐỢT 11</t>
  </si>
  <si>
    <t>ĐỢT 12</t>
  </si>
  <si>
    <r>
      <t xml:space="preserve">TT ĐỢT 1:15% HĐNT+25% HDDV
</t>
    </r>
    <r>
      <rPr>
        <sz val="11"/>
        <color theme="1"/>
        <rFont val="Times New Roman"/>
        <family val="1"/>
      </rPr>
      <t xml:space="preserve">7 ngày kể từ ngày cọc, ký HĐ
</t>
    </r>
    <r>
      <rPr>
        <i/>
        <sz val="11"/>
        <color theme="1"/>
        <rFont val="Times New Roman"/>
        <family val="1"/>
      </rPr>
      <t>(đã trừ tiền đặt cọc)</t>
    </r>
  </si>
  <si>
    <r>
      <t>TT ĐỢT 2: 10% HĐNT
30</t>
    </r>
    <r>
      <rPr>
        <i/>
        <sz val="11"/>
        <color theme="1"/>
        <rFont val="Times New Roman"/>
        <family val="1"/>
      </rPr>
      <t xml:space="preserve"> ngày kể từ ngày đến hạn thanh toán đợt 1</t>
    </r>
    <r>
      <rPr>
        <b/>
        <sz val="11"/>
        <color theme="1"/>
        <rFont val="Times New Roman"/>
        <family val="1"/>
      </rPr>
      <t xml:space="preserve">
+ 25% HDDV
</t>
    </r>
    <r>
      <rPr>
        <i/>
        <sz val="11"/>
        <color theme="1"/>
        <rFont val="Times New Roman"/>
        <family val="1"/>
      </rPr>
      <t>30 ngày kể từ ngày đến hạn thanh toán đợt 1</t>
    </r>
  </si>
  <si>
    <r>
      <rPr>
        <b/>
        <sz val="11"/>
        <color theme="1"/>
        <rFont val="Times New Roman"/>
        <family val="1"/>
      </rPr>
      <t>TT ĐỢT 3</t>
    </r>
    <r>
      <rPr>
        <i/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10% HĐNT
30</t>
    </r>
    <r>
      <rPr>
        <i/>
        <sz val="11"/>
        <color theme="1"/>
        <rFont val="Times New Roman"/>
        <family val="1"/>
      </rPr>
      <t xml:space="preserve"> ngày kể từ ngày đến hạn thanh toán đợt 2</t>
    </r>
    <r>
      <rPr>
        <b/>
        <sz val="11"/>
        <color theme="1"/>
        <rFont val="Times New Roman"/>
        <family val="1"/>
      </rPr>
      <t xml:space="preserve">
+ 25% HDDV</t>
    </r>
    <r>
      <rPr>
        <i/>
        <sz val="11"/>
        <color theme="1"/>
        <rFont val="Times New Roman"/>
        <family val="1"/>
      </rPr>
      <t xml:space="preserve">
30 ngày kể từ ngày đến hạn thanh toán đợt 2</t>
    </r>
  </si>
  <si>
    <r>
      <t xml:space="preserve">TT ĐỢT 4:10% HĐNT </t>
    </r>
    <r>
      <rPr>
        <i/>
        <sz val="11"/>
        <color theme="1"/>
        <rFont val="Times New Roman"/>
        <family val="1"/>
      </rPr>
      <t>(30 ngày kể từ ngày đến hạn thanh toán đợt 3)</t>
    </r>
    <r>
      <rPr>
        <b/>
        <sz val="11"/>
        <color theme="1"/>
        <rFont val="Times New Roman"/>
        <family val="1"/>
      </rPr>
      <t xml:space="preserve">
+20% HDDV </t>
    </r>
    <r>
      <rPr>
        <i/>
        <sz val="11"/>
        <color theme="1"/>
        <rFont val="Times New Roman"/>
        <family val="1"/>
      </rPr>
      <t>(Thanh toán khi ký HĐCN/HĐMB)</t>
    </r>
  </si>
  <si>
    <r>
      <t>TT ĐỢT 5 - 10% HĐNT
30</t>
    </r>
    <r>
      <rPr>
        <i/>
        <sz val="11"/>
        <color theme="1"/>
        <rFont val="Times New Roman"/>
        <family val="1"/>
      </rPr>
      <t xml:space="preserve"> ngày kể từ ngày đến hạn thanh toán đợt 4+5% HDDV (Thanh toán khi ký HĐCN/HĐMB)</t>
    </r>
  </si>
  <si>
    <r>
      <t>TT ĐỢT 6 - 5%
30</t>
    </r>
    <r>
      <rPr>
        <i/>
        <sz val="11"/>
        <color theme="1"/>
        <rFont val="Times New Roman"/>
        <family val="1"/>
      </rPr>
      <t xml:space="preserve"> ngày kể từ ngày đến hạn thanh toán đợt 5</t>
    </r>
  </si>
  <si>
    <r>
      <t>TT ĐỢT 7 - 5%
30</t>
    </r>
    <r>
      <rPr>
        <i/>
        <sz val="11"/>
        <color theme="1"/>
        <rFont val="Times New Roman"/>
        <family val="1"/>
      </rPr>
      <t xml:space="preserve"> ngày kể từ ngày đến hạn thanh toán đợt 6</t>
    </r>
  </si>
  <si>
    <r>
      <t>TT ĐỢT 8 - 5%
30</t>
    </r>
    <r>
      <rPr>
        <i/>
        <sz val="11"/>
        <color theme="1"/>
        <rFont val="Times New Roman"/>
        <family val="1"/>
      </rPr>
      <t xml:space="preserve"> ngày kể từ ngày đến hạn thanh toán đợt 7</t>
    </r>
  </si>
  <si>
    <r>
      <t>TT ĐỢT 9 - 5%
30</t>
    </r>
    <r>
      <rPr>
        <i/>
        <sz val="11"/>
        <color theme="1"/>
        <rFont val="Times New Roman"/>
        <family val="1"/>
      </rPr>
      <t xml:space="preserve"> ngày kể từ ngày đến hạn thanh toán đợt 8</t>
    </r>
    <r>
      <rPr>
        <sz val="11"/>
        <color theme="1"/>
        <rFont val="Calibri"/>
        <family val="2"/>
        <scheme val="minor"/>
      </rPr>
      <t/>
    </r>
  </si>
  <si>
    <r>
      <t>TT ĐỢT 10 - 5%
30</t>
    </r>
    <r>
      <rPr>
        <i/>
        <sz val="11"/>
        <color theme="1"/>
        <rFont val="Times New Roman"/>
        <family val="1"/>
      </rPr>
      <t xml:space="preserve"> ngày kể từ ngày đến hạn thanh toán đợt 9</t>
    </r>
    <r>
      <rPr>
        <sz val="11"/>
        <color theme="1"/>
        <rFont val="Calibri"/>
        <family val="2"/>
        <scheme val="minor"/>
      </rPr>
      <t/>
    </r>
  </si>
  <si>
    <r>
      <t>TT ĐỢT 11 - 5%
30</t>
    </r>
    <r>
      <rPr>
        <i/>
        <sz val="11"/>
        <color theme="1"/>
        <rFont val="Times New Roman"/>
        <family val="1"/>
      </rPr>
      <t xml:space="preserve"> ngày kể từ ngày đến hạn thanh toán đợt 10</t>
    </r>
    <r>
      <rPr>
        <sz val="11"/>
        <color theme="1"/>
        <rFont val="Calibri"/>
        <family val="2"/>
        <scheme val="minor"/>
      </rPr>
      <t/>
    </r>
  </si>
  <si>
    <r>
      <t>TT ĐỢT 12 - 5%
30</t>
    </r>
    <r>
      <rPr>
        <i/>
        <sz val="11"/>
        <color theme="1"/>
        <rFont val="Times New Roman"/>
        <family val="1"/>
      </rPr>
      <t xml:space="preserve"> ngày kể từ ngày đến hạn thanh toán đợt 11</t>
    </r>
    <r>
      <rPr>
        <sz val="11"/>
        <color theme="1"/>
        <rFont val="Calibri"/>
        <family val="2"/>
        <scheme val="minor"/>
      </rPr>
      <t/>
    </r>
  </si>
  <si>
    <r>
      <t xml:space="preserve">TT ĐỢT 13 - 5%
</t>
    </r>
    <r>
      <rPr>
        <i/>
        <sz val="11"/>
        <color theme="1"/>
        <rFont val="Times New Roman"/>
        <family val="1"/>
      </rPr>
      <t>45 ngày kể từ ngày đến hạn thanh toán đợt 8</t>
    </r>
  </si>
  <si>
    <t>ĐỢT 13</t>
  </si>
  <si>
    <r>
      <t xml:space="preserve">TT ĐỢT 1:15% HĐNT+25% HDDV
</t>
    </r>
    <r>
      <rPr>
        <i/>
        <sz val="11"/>
        <color theme="1"/>
        <rFont val="Times New Roman"/>
        <family val="1"/>
      </rPr>
      <t>7 ngày kể từ ngày cọc, ký HĐ
(đã trừ tiền đặt cọc)</t>
    </r>
  </si>
  <si>
    <r>
      <t xml:space="preserve">TT ĐỢT 3: 5% HĐNT+25% HDDV
</t>
    </r>
    <r>
      <rPr>
        <i/>
        <sz val="11"/>
        <color theme="1"/>
        <rFont val="Times New Roman"/>
        <family val="1"/>
      </rPr>
      <t>30 ngày kể từ ngày đến hạn thanh toán đợt 2</t>
    </r>
    <r>
      <rPr>
        <sz val="11"/>
        <color theme="1"/>
        <rFont val="Calibri"/>
        <family val="2"/>
        <scheme val="minor"/>
      </rPr>
      <t/>
    </r>
  </si>
  <si>
    <r>
      <t>TT ĐỢT 3: 65% HĐNT</t>
    </r>
    <r>
      <rPr>
        <sz val="11"/>
        <color theme="1"/>
        <rFont val="Times New Roman"/>
        <family val="1"/>
      </rPr>
      <t xml:space="preserve"> (</t>
    </r>
    <r>
      <rPr>
        <i/>
        <sz val="11"/>
        <color theme="1"/>
        <rFont val="Times New Roman"/>
        <family val="1"/>
      </rPr>
      <t>NH GN lần1</t>
    </r>
    <r>
      <rPr>
        <sz val="11"/>
        <color theme="1"/>
        <rFont val="Times New Roman"/>
        <family val="1"/>
      </rPr>
      <t>)</t>
    </r>
    <r>
      <rPr>
        <b/>
        <sz val="11"/>
        <color theme="1"/>
        <rFont val="Times New Roman"/>
        <family val="1"/>
      </rPr>
      <t xml:space="preserve">
+20% HDDV </t>
    </r>
    <r>
      <rPr>
        <i/>
        <sz val="11"/>
        <color theme="1"/>
        <rFont val="Times New Roman"/>
        <family val="1"/>
      </rPr>
      <t>(30 ngày kể từ ngày đến hạn thanh toán đợt 2)</t>
    </r>
  </si>
  <si>
    <r>
      <t xml:space="preserve">TT ĐỢT 3: 25% HDDV
</t>
    </r>
    <r>
      <rPr>
        <i/>
        <sz val="11"/>
        <color theme="1"/>
        <rFont val="Times New Roman"/>
        <family val="1"/>
      </rPr>
      <t>30 ngày kể từ ngày đến hạn thanh toán đợt 2</t>
    </r>
    <r>
      <rPr>
        <sz val="11"/>
        <color theme="1"/>
        <rFont val="Calibri"/>
        <family val="2"/>
        <scheme val="minor"/>
      </rPr>
      <t/>
    </r>
  </si>
  <si>
    <r>
      <t xml:space="preserve">TT ĐỢT 4: 20% HDDV
</t>
    </r>
    <r>
      <rPr>
        <i/>
        <sz val="11"/>
        <color theme="1"/>
        <rFont val="Times New Roman"/>
        <family val="1"/>
      </rPr>
      <t>30 ngày kể từ ngày đến hạn thanh toán đợt 3</t>
    </r>
    <r>
      <rPr>
        <sz val="11"/>
        <color theme="1"/>
        <rFont val="Calibri"/>
        <family val="2"/>
        <scheme val="minor"/>
      </rPr>
      <t/>
    </r>
  </si>
  <si>
    <r>
      <t>TT ĐỢT 3: 65% HĐNT</t>
    </r>
    <r>
      <rPr>
        <sz val="11"/>
        <color theme="1"/>
        <rFont val="Times New Roman"/>
        <family val="1"/>
      </rPr>
      <t xml:space="preserve"> (</t>
    </r>
    <r>
      <rPr>
        <i/>
        <sz val="11"/>
        <color theme="1"/>
        <rFont val="Times New Roman"/>
        <family val="1"/>
      </rPr>
      <t>NH GN lần1</t>
    </r>
    <r>
      <rPr>
        <sz val="11"/>
        <color theme="1"/>
        <rFont val="Times New Roman"/>
        <family val="1"/>
      </rPr>
      <t>)</t>
    </r>
    <r>
      <rPr>
        <b/>
        <sz val="11"/>
        <color theme="1"/>
        <rFont val="Times New Roman"/>
        <family val="1"/>
      </rPr>
      <t xml:space="preserve">
</t>
    </r>
  </si>
  <si>
    <t>LK15-43</t>
  </si>
  <si>
    <t>nhập HDDC chưA TRỪ 1% trên CRM</t>
  </si>
  <si>
    <t>CK 1%</t>
  </si>
  <si>
    <t>GIÁ SAU CK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</si>
</sst>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-* #,##0\ _₫_-;\-* #,##0\ _₫_-;_-* &quot;-&quot;??\ _₫_-;_-@_-"/>
    <numFmt numFmtId="166" formatCode="[$-1010000]d/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164" fontId="0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3" fillId="0" borderId="2" xfId="0" applyFont="1" applyBorder="1"/>
    <xf numFmtId="165" fontId="4" fillId="0" borderId="2" xfId="1" applyNumberFormat="1" applyFont="1" applyBorder="1" applyAlignment="1">
      <alignment horizontal="right"/>
    </xf>
    <xf numFmtId="164" fontId="4" fillId="0" borderId="2" xfId="1" applyNumberFormat="1" applyFont="1" applyBorder="1"/>
    <xf numFmtId="166" fontId="4" fillId="0" borderId="0" xfId="1" applyNumberFormat="1" applyFont="1" applyBorder="1"/>
    <xf numFmtId="165" fontId="4" fillId="0" borderId="2" xfId="1" applyNumberFormat="1" applyFont="1" applyBorder="1"/>
    <xf numFmtId="0" fontId="4" fillId="0" borderId="2" xfId="0" applyFont="1" applyBorder="1"/>
    <xf numFmtId="164" fontId="4" fillId="0" borderId="0" xfId="1" applyNumberFormat="1" applyFont="1" applyBorder="1"/>
    <xf numFmtId="164" fontId="0" fillId="0" borderId="0" xfId="0" applyNumberFormat="1"/>
    <xf numFmtId="165" fontId="4" fillId="0" borderId="2" xfId="0" applyNumberFormat="1" applyFont="1" applyBorder="1"/>
    <xf numFmtId="164" fontId="4" fillId="0" borderId="2" xfId="0" applyNumberFormat="1" applyFont="1" applyBorder="1"/>
    <xf numFmtId="0" fontId="5" fillId="0" borderId="2" xfId="0" applyFont="1" applyBorder="1" applyAlignment="1">
      <alignment horizontal="center"/>
    </xf>
    <xf numFmtId="166" fontId="0" fillId="0" borderId="0" xfId="1" applyNumberFormat="1" applyFont="1"/>
    <xf numFmtId="14" fontId="0" fillId="0" borderId="0" xfId="0" applyNumberFormat="1"/>
    <xf numFmtId="0" fontId="4" fillId="0" borderId="3" xfId="0" applyFont="1" applyBorder="1"/>
    <xf numFmtId="164" fontId="4" fillId="0" borderId="2" xfId="0" applyNumberFormat="1" applyFont="1" applyBorder="1" applyAlignment="1">
      <alignment vertical="center"/>
    </xf>
    <xf numFmtId="165" fontId="4" fillId="0" borderId="0" xfId="1" applyNumberFormat="1" applyFont="1" applyBorder="1"/>
    <xf numFmtId="164" fontId="0" fillId="0" borderId="0" xfId="1" applyNumberFormat="1" applyFont="1" applyBorder="1"/>
    <xf numFmtId="164" fontId="4" fillId="0" borderId="5" xfId="1" applyNumberFormat="1" applyFont="1" applyBorder="1"/>
    <xf numFmtId="164" fontId="4" fillId="0" borderId="0" xfId="1" applyNumberFormat="1" applyFont="1"/>
    <xf numFmtId="0" fontId="0" fillId="0" borderId="0" xfId="0" applyBorder="1"/>
    <xf numFmtId="14" fontId="4" fillId="0" borderId="0" xfId="0" applyNumberFormat="1" applyFont="1" applyBorder="1"/>
    <xf numFmtId="0" fontId="3" fillId="0" borderId="0" xfId="0" applyFont="1" applyBorder="1"/>
    <xf numFmtId="164" fontId="4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4" fontId="4" fillId="0" borderId="3" xfId="1" applyNumberFormat="1" applyFont="1" applyBorder="1"/>
    <xf numFmtId="164" fontId="4" fillId="0" borderId="3" xfId="0" applyNumberFormat="1" applyFont="1" applyBorder="1"/>
    <xf numFmtId="0" fontId="3" fillId="0" borderId="2" xfId="0" applyFont="1" applyBorder="1" applyAlignment="1">
      <alignment horizontal="center" wrapText="1"/>
    </xf>
    <xf numFmtId="165" fontId="3" fillId="0" borderId="2" xfId="1" applyNumberFormat="1" applyFont="1" applyBorder="1"/>
    <xf numFmtId="9" fontId="0" fillId="0" borderId="0" xfId="0" applyNumberFormat="1" applyBorder="1"/>
    <xf numFmtId="164" fontId="0" fillId="0" borderId="0" xfId="0" applyNumberFormat="1" applyBorder="1"/>
    <xf numFmtId="164" fontId="3" fillId="0" borderId="0" xfId="0" applyNumberFormat="1" applyFont="1" applyBorder="1"/>
    <xf numFmtId="166" fontId="3" fillId="0" borderId="0" xfId="1" applyNumberFormat="1" applyFont="1" applyBorder="1"/>
    <xf numFmtId="164" fontId="4" fillId="0" borderId="2" xfId="0" applyNumberFormat="1" applyFont="1" applyBorder="1" applyAlignment="1"/>
    <xf numFmtId="0" fontId="4" fillId="0" borderId="8" xfId="0" applyFont="1" applyBorder="1"/>
    <xf numFmtId="164" fontId="0" fillId="0" borderId="2" xfId="1" applyNumberFormat="1" applyFont="1" applyBorder="1"/>
    <xf numFmtId="166" fontId="0" fillId="0" borderId="2" xfId="1" applyNumberFormat="1" applyFont="1" applyBorder="1"/>
    <xf numFmtId="0" fontId="6" fillId="0" borderId="2" xfId="0" applyFont="1" applyBorder="1" applyAlignment="1">
      <alignment wrapText="1"/>
    </xf>
    <xf numFmtId="164" fontId="4" fillId="0" borderId="6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Border="1"/>
    <xf numFmtId="165" fontId="0" fillId="0" borderId="0" xfId="0" applyNumberFormat="1"/>
    <xf numFmtId="164" fontId="7" fillId="0" borderId="2" xfId="1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165" fontId="4" fillId="2" borderId="2" xfId="1" applyNumberFormat="1" applyFont="1" applyFill="1" applyBorder="1" applyAlignment="1">
      <alignment horizontal="right"/>
    </xf>
    <xf numFmtId="164" fontId="4" fillId="2" borderId="5" xfId="1" applyNumberFormat="1" applyFont="1" applyFill="1" applyBorder="1"/>
    <xf numFmtId="43" fontId="4" fillId="0" borderId="2" xfId="0" applyNumberFormat="1" applyFont="1" applyBorder="1"/>
    <xf numFmtId="164" fontId="0" fillId="2" borderId="0" xfId="0" applyNumberFormat="1" applyFill="1"/>
    <xf numFmtId="164" fontId="4" fillId="0" borderId="6" xfId="0" applyNumberFormat="1" applyFont="1" applyBorder="1" applyAlignment="1">
      <alignment horizontal="center" vertical="center"/>
    </xf>
    <xf numFmtId="165" fontId="4" fillId="0" borderId="0" xfId="0" applyNumberFormat="1" applyFont="1" applyBorder="1"/>
    <xf numFmtId="164" fontId="4" fillId="0" borderId="7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3" fontId="0" fillId="0" borderId="2" xfId="1" applyNumberFormat="1" applyFont="1" applyBorder="1"/>
    <xf numFmtId="3" fontId="0" fillId="0" borderId="0" xfId="1" applyNumberFormat="1" applyFont="1"/>
    <xf numFmtId="3" fontId="4" fillId="0" borderId="0" xfId="1" applyNumberFormat="1" applyFont="1" applyBorder="1"/>
    <xf numFmtId="3" fontId="5" fillId="0" borderId="0" xfId="0" applyNumberFormat="1" applyFont="1" applyBorder="1" applyAlignment="1">
      <alignment horizontal="center"/>
    </xf>
    <xf numFmtId="3" fontId="3" fillId="0" borderId="0" xfId="0" applyNumberFormat="1" applyFont="1" applyBorder="1"/>
    <xf numFmtId="3" fontId="3" fillId="0" borderId="0" xfId="1" applyNumberFormat="1" applyFont="1" applyBorder="1"/>
    <xf numFmtId="3" fontId="4" fillId="0" borderId="2" xfId="1" applyNumberFormat="1" applyFont="1" applyBorder="1"/>
    <xf numFmtId="3" fontId="0" fillId="0" borderId="0" xfId="0" applyNumberFormat="1"/>
    <xf numFmtId="3" fontId="0" fillId="0" borderId="0" xfId="0" applyNumberFormat="1" applyBorder="1"/>
    <xf numFmtId="165" fontId="4" fillId="2" borderId="2" xfId="1" applyNumberFormat="1" applyFont="1" applyFill="1" applyBorder="1"/>
    <xf numFmtId="43" fontId="4" fillId="0" borderId="2" xfId="0" applyNumberFormat="1" applyFont="1" applyBorder="1" applyAlignment="1">
      <alignment horizontal="center" vertical="center"/>
    </xf>
    <xf numFmtId="164" fontId="4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view="pageBreakPreview" zoomScale="60" zoomScaleNormal="80" workbookViewId="0">
      <selection activeCell="A31" sqref="A31"/>
    </sheetView>
  </sheetViews>
  <sheetFormatPr defaultRowHeight="15" x14ac:dyDescent="0.25"/>
  <cols>
    <col min="1" max="1" width="43.28515625" customWidth="1"/>
    <col min="2" max="2" width="22.5703125" customWidth="1"/>
    <col min="3" max="3" width="27.28515625" customWidth="1"/>
    <col min="4" max="4" width="36.7109375" customWidth="1"/>
    <col min="5" max="5" width="39.5703125" bestFit="1" customWidth="1"/>
    <col min="6" max="6" width="18.5703125" customWidth="1"/>
    <col min="7" max="7" width="16.7109375" style="68" customWidth="1"/>
    <col min="8" max="8" width="14" bestFit="1" customWidth="1"/>
    <col min="9" max="9" width="39.5703125" bestFit="1" customWidth="1"/>
  </cols>
  <sheetData>
    <row r="1" spans="1:12" ht="20.25" x14ac:dyDescent="0.25">
      <c r="A1" s="73" t="s">
        <v>17</v>
      </c>
      <c r="B1" s="73"/>
      <c r="C1" s="73"/>
      <c r="D1" s="32"/>
      <c r="E1" s="48"/>
      <c r="F1" s="48"/>
      <c r="G1" s="62"/>
    </row>
    <row r="2" spans="1:12" ht="22.5" customHeight="1" x14ac:dyDescent="0.25">
      <c r="A2" s="2" t="s">
        <v>0</v>
      </c>
      <c r="B2" s="3" t="s">
        <v>97</v>
      </c>
      <c r="C2" s="4">
        <v>100</v>
      </c>
      <c r="D2" s="33"/>
      <c r="E2" s="48"/>
      <c r="F2" s="48"/>
      <c r="G2" s="62"/>
    </row>
    <row r="3" spans="1:12" ht="22.5" customHeight="1" x14ac:dyDescent="0.25">
      <c r="A3" s="2" t="s">
        <v>1</v>
      </c>
      <c r="B3" s="51">
        <v>21000000</v>
      </c>
      <c r="C3" s="52">
        <f>B4/C2</f>
        <v>20200000</v>
      </c>
      <c r="D3" s="33"/>
      <c r="E3" s="48"/>
      <c r="F3" s="48"/>
      <c r="G3" s="62"/>
    </row>
    <row r="4" spans="1:12" ht="22.5" customHeight="1" x14ac:dyDescent="0.25">
      <c r="A4" s="6" t="s">
        <v>31</v>
      </c>
      <c r="B4" s="53">
        <v>2020000000</v>
      </c>
      <c r="C4" s="8"/>
      <c r="D4" s="12"/>
      <c r="E4" s="1"/>
      <c r="F4" s="1"/>
      <c r="G4" s="63"/>
    </row>
    <row r="5" spans="1:12" ht="22.5" customHeight="1" x14ac:dyDescent="0.25">
      <c r="A5" s="6" t="s">
        <v>99</v>
      </c>
      <c r="B5" s="7">
        <f>B4*1%</f>
        <v>20200000</v>
      </c>
      <c r="C5" s="23"/>
      <c r="D5" s="12"/>
      <c r="E5" s="1"/>
      <c r="F5" s="1"/>
      <c r="G5" s="63"/>
    </row>
    <row r="6" spans="1:12" ht="22.5" customHeight="1" x14ac:dyDescent="0.25">
      <c r="A6" s="6" t="s">
        <v>100</v>
      </c>
      <c r="B6" s="7">
        <f>B4-B5</f>
        <v>1999800000</v>
      </c>
      <c r="C6" s="54">
        <v>457780480</v>
      </c>
      <c r="D6" s="12" t="s">
        <v>98</v>
      </c>
      <c r="E6" s="1"/>
      <c r="F6" s="1"/>
      <c r="G6" s="63"/>
    </row>
    <row r="7" spans="1:12" ht="22.5" customHeight="1" x14ac:dyDescent="0.25">
      <c r="A7" s="6" t="s">
        <v>10</v>
      </c>
      <c r="B7" s="53">
        <v>1562219520</v>
      </c>
      <c r="C7" s="8">
        <f>C6-B5</f>
        <v>437580480</v>
      </c>
      <c r="D7" s="24" t="s">
        <v>21</v>
      </c>
      <c r="E7" s="12"/>
      <c r="F7" s="22"/>
      <c r="G7" s="63"/>
      <c r="H7" s="25"/>
      <c r="I7" s="25"/>
      <c r="J7" s="25"/>
    </row>
    <row r="8" spans="1:12" ht="22.5" customHeight="1" x14ac:dyDescent="0.25">
      <c r="A8" s="6" t="s">
        <v>18</v>
      </c>
      <c r="B8" s="70">
        <f>2*14500000</f>
        <v>29000000</v>
      </c>
      <c r="C8" s="11"/>
      <c r="D8" s="29"/>
      <c r="E8" s="21"/>
      <c r="F8" s="12"/>
      <c r="G8" s="63"/>
      <c r="H8" s="38"/>
      <c r="I8" s="25"/>
      <c r="J8" s="25"/>
    </row>
    <row r="9" spans="1:12" ht="22.5" hidden="1" customHeight="1" x14ac:dyDescent="0.25">
      <c r="A9" s="6" t="s">
        <v>2</v>
      </c>
      <c r="B9" s="10">
        <f>ROUND((C7-B8)*0%,-3)</f>
        <v>0</v>
      </c>
      <c r="C9" s="11"/>
      <c r="D9" s="29"/>
      <c r="E9" s="12"/>
      <c r="F9" s="12"/>
      <c r="G9" s="63"/>
      <c r="H9" s="39"/>
      <c r="I9" s="25"/>
      <c r="J9" s="25"/>
    </row>
    <row r="10" spans="1:12" ht="22.5" customHeight="1" x14ac:dyDescent="0.25">
      <c r="A10" s="6" t="s">
        <v>3</v>
      </c>
      <c r="B10" s="14">
        <f>B7</f>
        <v>1562219520</v>
      </c>
      <c r="C10" s="15">
        <f>C7-B8</f>
        <v>408580480</v>
      </c>
      <c r="D10" s="24" t="s">
        <v>21</v>
      </c>
      <c r="E10" s="12">
        <f>B10+C10</f>
        <v>1970800000</v>
      </c>
      <c r="F10" s="49"/>
      <c r="G10" s="63"/>
      <c r="H10" s="25"/>
      <c r="I10" s="25"/>
      <c r="J10" s="25"/>
    </row>
    <row r="11" spans="1:12" ht="35.25" customHeight="1" x14ac:dyDescent="0.3">
      <c r="A11" s="36" t="s">
        <v>23</v>
      </c>
      <c r="B11" s="16"/>
      <c r="C11" s="36" t="s">
        <v>24</v>
      </c>
      <c r="D11" s="36" t="s">
        <v>22</v>
      </c>
      <c r="E11" s="30"/>
      <c r="F11" s="25"/>
      <c r="G11" s="64"/>
      <c r="H11" s="30"/>
      <c r="I11" s="30"/>
      <c r="J11" s="25"/>
    </row>
    <row r="12" spans="1:12" ht="31.5" customHeight="1" x14ac:dyDescent="0.3">
      <c r="A12" s="31" t="s">
        <v>25</v>
      </c>
      <c r="B12" s="10">
        <v>50000000</v>
      </c>
      <c r="C12" s="11"/>
      <c r="D12" s="14">
        <f>B12</f>
        <v>50000000</v>
      </c>
      <c r="E12" s="26"/>
      <c r="F12" s="25"/>
      <c r="G12" s="64"/>
      <c r="H12" s="30"/>
      <c r="I12" s="30"/>
      <c r="J12" s="25"/>
    </row>
    <row r="13" spans="1:12" ht="44.25" x14ac:dyDescent="0.25">
      <c r="A13" s="31" t="s">
        <v>64</v>
      </c>
      <c r="B13" s="15">
        <f>(B10*20%)-B12</f>
        <v>262443904</v>
      </c>
      <c r="C13" s="15">
        <f>C10*25%</f>
        <v>102145120</v>
      </c>
      <c r="D13" s="15">
        <f>B13+C13</f>
        <v>364589024</v>
      </c>
      <c r="E13" s="26"/>
      <c r="F13" s="25"/>
      <c r="G13" s="65"/>
      <c r="H13" s="28"/>
      <c r="I13" s="26"/>
      <c r="J13" s="25"/>
    </row>
    <row r="14" spans="1:12" ht="35.25" customHeight="1" x14ac:dyDescent="0.25">
      <c r="A14" s="31" t="s">
        <v>65</v>
      </c>
      <c r="B14" s="15">
        <f>B10*10%</f>
        <v>156221952</v>
      </c>
      <c r="C14" s="15">
        <f>C10*25%</f>
        <v>102145120</v>
      </c>
      <c r="D14" s="15">
        <f t="shared" ref="D14:D15" si="0">B14+C14</f>
        <v>258367072</v>
      </c>
      <c r="E14" s="58"/>
      <c r="F14" s="25"/>
      <c r="G14" s="65"/>
      <c r="H14" s="28"/>
      <c r="I14" s="29"/>
      <c r="J14" s="25"/>
    </row>
    <row r="15" spans="1:12" ht="34.5" customHeight="1" x14ac:dyDescent="0.25">
      <c r="A15" s="31" t="s">
        <v>66</v>
      </c>
      <c r="B15" s="15">
        <f>B10*10%</f>
        <v>156221952</v>
      </c>
      <c r="C15" s="15">
        <f>C10*25%</f>
        <v>102145120</v>
      </c>
      <c r="D15" s="15">
        <f t="shared" si="0"/>
        <v>258367072</v>
      </c>
      <c r="E15" s="58"/>
      <c r="F15" s="25"/>
      <c r="G15" s="65"/>
      <c r="H15" s="28"/>
      <c r="I15" s="29"/>
      <c r="J15" s="25"/>
    </row>
    <row r="16" spans="1:12" ht="57.75" customHeight="1" x14ac:dyDescent="0.25">
      <c r="A16" s="31" t="s">
        <v>67</v>
      </c>
      <c r="B16" s="15">
        <f>B10*10%</f>
        <v>156221952</v>
      </c>
      <c r="C16" s="15">
        <f>C10*20%</f>
        <v>81716096</v>
      </c>
      <c r="D16" s="42">
        <f>B16+C16</f>
        <v>237938048</v>
      </c>
      <c r="E16" s="58"/>
      <c r="F16" s="25"/>
      <c r="G16" s="65"/>
      <c r="H16" s="28"/>
      <c r="I16" s="29"/>
      <c r="J16" s="25"/>
      <c r="K16" s="25"/>
      <c r="L16" s="25"/>
    </row>
    <row r="17" spans="1:10" ht="31.5" customHeight="1" x14ac:dyDescent="0.25">
      <c r="A17" s="31" t="s">
        <v>26</v>
      </c>
      <c r="B17" s="15">
        <f>B10*10%</f>
        <v>156221952</v>
      </c>
      <c r="C17" s="59">
        <f>C10*5%</f>
        <v>20429024</v>
      </c>
      <c r="D17" s="42">
        <f>B17+C17</f>
        <v>176650976</v>
      </c>
      <c r="E17" s="29"/>
      <c r="F17" s="25"/>
      <c r="G17" s="65"/>
      <c r="H17" s="40"/>
      <c r="I17" s="29"/>
      <c r="J17" s="25"/>
    </row>
    <row r="18" spans="1:10" ht="31.5" customHeight="1" x14ac:dyDescent="0.25">
      <c r="A18" s="31" t="s">
        <v>68</v>
      </c>
      <c r="B18" s="15">
        <f>B10*5%</f>
        <v>78110976</v>
      </c>
      <c r="C18" s="59"/>
      <c r="D18" s="42">
        <f t="shared" ref="D18:D24" si="1">B18</f>
        <v>78110976</v>
      </c>
      <c r="E18" s="29"/>
      <c r="F18" s="25"/>
      <c r="G18" s="66"/>
      <c r="H18" s="25"/>
      <c r="I18" s="25"/>
      <c r="J18" s="25"/>
    </row>
    <row r="19" spans="1:10" ht="34.5" customHeight="1" x14ac:dyDescent="0.25">
      <c r="A19" s="31" t="s">
        <v>69</v>
      </c>
      <c r="B19" s="15">
        <f>B10*5%</f>
        <v>78110976</v>
      </c>
      <c r="C19" s="59"/>
      <c r="D19" s="42">
        <f t="shared" si="1"/>
        <v>78110976</v>
      </c>
      <c r="E19" s="29"/>
      <c r="G19" s="62"/>
    </row>
    <row r="20" spans="1:10" ht="33" customHeight="1" x14ac:dyDescent="0.25">
      <c r="A20" s="31" t="s">
        <v>49</v>
      </c>
      <c r="B20" s="15">
        <f>B10*5%</f>
        <v>78110976</v>
      </c>
      <c r="C20" s="59"/>
      <c r="D20" s="42">
        <f t="shared" si="1"/>
        <v>78110976</v>
      </c>
      <c r="E20" s="29"/>
      <c r="G20" s="62"/>
    </row>
    <row r="21" spans="1:10" ht="33" customHeight="1" x14ac:dyDescent="0.25">
      <c r="A21" s="31" t="s">
        <v>70</v>
      </c>
      <c r="B21" s="15">
        <f>B10*5%</f>
        <v>78110976</v>
      </c>
      <c r="C21" s="59"/>
      <c r="D21" s="42">
        <f t="shared" si="1"/>
        <v>78110976</v>
      </c>
      <c r="E21" s="29"/>
      <c r="G21" s="62"/>
    </row>
    <row r="22" spans="1:10" ht="33" customHeight="1" x14ac:dyDescent="0.25">
      <c r="A22" s="31" t="s">
        <v>71</v>
      </c>
      <c r="B22" s="15">
        <f>B10*5%</f>
        <v>78110976</v>
      </c>
      <c r="C22" s="59"/>
      <c r="D22" s="42">
        <f t="shared" si="1"/>
        <v>78110976</v>
      </c>
      <c r="E22" s="29"/>
      <c r="G22" s="62"/>
    </row>
    <row r="23" spans="1:10" ht="33" customHeight="1" x14ac:dyDescent="0.25">
      <c r="A23" s="31" t="s">
        <v>72</v>
      </c>
      <c r="B23" s="15">
        <f>B10*5%</f>
        <v>78110976</v>
      </c>
      <c r="C23" s="59"/>
      <c r="D23" s="42">
        <f t="shared" si="1"/>
        <v>78110976</v>
      </c>
      <c r="E23" s="29"/>
      <c r="G23" s="62"/>
    </row>
    <row r="24" spans="1:10" ht="32.25" customHeight="1" x14ac:dyDescent="0.25">
      <c r="A24" s="31" t="s">
        <v>73</v>
      </c>
      <c r="B24" s="15">
        <f>B10*5%</f>
        <v>78110976</v>
      </c>
      <c r="C24" s="59"/>
      <c r="D24" s="42">
        <f t="shared" si="1"/>
        <v>78110976</v>
      </c>
      <c r="E24" s="29"/>
      <c r="G24" s="62"/>
    </row>
    <row r="25" spans="1:10" ht="33" customHeight="1" x14ac:dyDescent="0.25">
      <c r="A25" s="31" t="s">
        <v>27</v>
      </c>
      <c r="B25" s="15">
        <f>B10*5%</f>
        <v>78110976</v>
      </c>
      <c r="C25" s="60"/>
      <c r="D25" s="42">
        <f>B25</f>
        <v>78110976</v>
      </c>
      <c r="E25" s="29"/>
      <c r="G25" s="62"/>
    </row>
    <row r="26" spans="1:10" ht="24" customHeight="1" x14ac:dyDescent="0.25">
      <c r="A26" s="6" t="s">
        <v>9</v>
      </c>
      <c r="B26" s="37">
        <f>SUM(B12:B25)</f>
        <v>1562219520</v>
      </c>
      <c r="C26" s="37">
        <f>SUM(C12:C25)</f>
        <v>408580480</v>
      </c>
      <c r="D26" s="37">
        <f>SUM(D12:D25)</f>
        <v>1970800000</v>
      </c>
      <c r="E26" s="18"/>
      <c r="G26" s="62"/>
    </row>
    <row r="27" spans="1:10" ht="40.5" customHeight="1" x14ac:dyDescent="0.3">
      <c r="A27" s="36" t="s">
        <v>28</v>
      </c>
      <c r="B27" s="16"/>
      <c r="C27" s="36" t="s">
        <v>29</v>
      </c>
      <c r="D27" s="36" t="s">
        <v>30</v>
      </c>
      <c r="E27" s="18"/>
      <c r="G27" s="62"/>
    </row>
    <row r="28" spans="1:10" ht="21.75" customHeight="1" x14ac:dyDescent="0.25">
      <c r="A28" s="6" t="s">
        <v>31</v>
      </c>
      <c r="B28" s="7">
        <f>B4</f>
        <v>2020000000</v>
      </c>
      <c r="C28" s="8"/>
      <c r="D28" s="12"/>
      <c r="F28" t="s">
        <v>33</v>
      </c>
      <c r="G28" s="62" t="s">
        <v>34</v>
      </c>
    </row>
    <row r="29" spans="1:10" ht="21.75" customHeight="1" x14ac:dyDescent="0.25">
      <c r="A29" s="6" t="s">
        <v>99</v>
      </c>
      <c r="B29" s="7">
        <f>B28*1%</f>
        <v>20200000</v>
      </c>
      <c r="C29" s="8"/>
      <c r="D29" s="34"/>
      <c r="E29" s="19" t="s">
        <v>5</v>
      </c>
      <c r="F29" s="8">
        <f>B33*10%*16%*30/365</f>
        <v>2054425.6701369863</v>
      </c>
      <c r="G29" s="61">
        <f>C33*25%*16%*30/365</f>
        <v>1343278.2904109592</v>
      </c>
    </row>
    <row r="30" spans="1:10" ht="21.75" customHeight="1" x14ac:dyDescent="0.25">
      <c r="A30" s="6" t="s">
        <v>100</v>
      </c>
      <c r="B30" s="7">
        <f>B28-B29</f>
        <v>1999800000</v>
      </c>
      <c r="C30" s="11"/>
      <c r="D30" s="19"/>
      <c r="E30" s="19" t="s">
        <v>6</v>
      </c>
      <c r="F30" s="8">
        <f>B33*10%*16%*60/365</f>
        <v>4108851.3402739726</v>
      </c>
      <c r="G30" s="61">
        <f>C33*25%*16%*60/365</f>
        <v>2686556.5808219183</v>
      </c>
    </row>
    <row r="31" spans="1:10" ht="21.75" customHeight="1" x14ac:dyDescent="0.25">
      <c r="A31" s="6" t="s">
        <v>10</v>
      </c>
      <c r="B31" s="7">
        <f>B7</f>
        <v>1562219520</v>
      </c>
      <c r="C31" s="8">
        <f>C7</f>
        <v>437580480</v>
      </c>
      <c r="D31" s="8" t="s">
        <v>21</v>
      </c>
      <c r="E31" s="19" t="s">
        <v>7</v>
      </c>
      <c r="F31" s="8">
        <f>B33*10%*16%*90/365</f>
        <v>6163277.0104109598</v>
      </c>
      <c r="G31" s="61">
        <f>C33*25%*16%*90/365</f>
        <v>4029834.8712328766</v>
      </c>
    </row>
    <row r="32" spans="1:10" ht="21.75" customHeight="1" x14ac:dyDescent="0.25">
      <c r="A32" s="6" t="s">
        <v>18</v>
      </c>
      <c r="B32" s="10">
        <f>B8</f>
        <v>29000000</v>
      </c>
      <c r="C32" s="8"/>
      <c r="D32" s="24"/>
      <c r="E32" s="19" t="s">
        <v>8</v>
      </c>
      <c r="F32" s="8">
        <f>B33*10%*16%*120/365</f>
        <v>8217702.6805479452</v>
      </c>
      <c r="G32" s="61">
        <f>C33*20%*16%*120/365</f>
        <v>4298490.5293150684</v>
      </c>
    </row>
    <row r="33" spans="1:8" ht="21.75" customHeight="1" x14ac:dyDescent="0.25">
      <c r="A33" s="6" t="s">
        <v>3</v>
      </c>
      <c r="B33" s="7">
        <f>B31</f>
        <v>1562219520</v>
      </c>
      <c r="C33" s="15">
        <f>C31-B32</f>
        <v>408580480</v>
      </c>
      <c r="D33" s="24" t="s">
        <v>21</v>
      </c>
      <c r="E33" s="19" t="s">
        <v>12</v>
      </c>
      <c r="F33" s="8">
        <f>B33*5%*16%*150/365</f>
        <v>5136064.1753424658</v>
      </c>
      <c r="G33" s="61"/>
    </row>
    <row r="34" spans="1:8" ht="21" customHeight="1" x14ac:dyDescent="0.25">
      <c r="A34" s="6" t="s">
        <v>32</v>
      </c>
      <c r="B34" s="10">
        <f>F41</f>
        <v>61633000</v>
      </c>
      <c r="C34" s="15">
        <f>G41</f>
        <v>12358000</v>
      </c>
      <c r="D34" s="24"/>
      <c r="E34" s="19" t="s">
        <v>13</v>
      </c>
      <c r="F34" s="8">
        <f>B33*5%*16%*180/365</f>
        <v>6163277.0104109598</v>
      </c>
      <c r="G34" s="67"/>
    </row>
    <row r="35" spans="1:8" ht="21" customHeight="1" x14ac:dyDescent="0.25">
      <c r="A35" s="6" t="s">
        <v>11</v>
      </c>
      <c r="B35" s="14">
        <f>B33-B34</f>
        <v>1500586520</v>
      </c>
      <c r="C35" s="14">
        <f>C33-C34</f>
        <v>396222480</v>
      </c>
      <c r="D35" s="24" t="s">
        <v>21</v>
      </c>
      <c r="E35" s="19" t="s">
        <v>15</v>
      </c>
      <c r="F35" s="8">
        <f>B33*5%*16%*210/365</f>
        <v>7190489.8454794521</v>
      </c>
      <c r="G35" s="67"/>
    </row>
    <row r="36" spans="1:8" ht="21" customHeight="1" x14ac:dyDescent="0.25">
      <c r="A36" s="6" t="s">
        <v>4</v>
      </c>
      <c r="B36" s="10">
        <v>50000000</v>
      </c>
      <c r="C36" s="11"/>
      <c r="D36" s="34">
        <v>50000000</v>
      </c>
      <c r="E36" s="19" t="s">
        <v>16</v>
      </c>
      <c r="F36" s="8">
        <f>B33*5%*16%*120/365</f>
        <v>4108851.3402739726</v>
      </c>
      <c r="G36" s="67"/>
    </row>
    <row r="37" spans="1:8" ht="21" customHeight="1" x14ac:dyDescent="0.25">
      <c r="A37" s="6"/>
      <c r="B37" s="10"/>
      <c r="C37" s="11"/>
      <c r="D37" s="34"/>
      <c r="E37" s="19" t="s">
        <v>74</v>
      </c>
      <c r="F37" s="12">
        <f>B33*5%*16%*150/365</f>
        <v>5136064.1753424658</v>
      </c>
      <c r="G37" s="63"/>
    </row>
    <row r="38" spans="1:8" ht="21" customHeight="1" x14ac:dyDescent="0.25">
      <c r="A38" s="6"/>
      <c r="B38" s="10"/>
      <c r="C38" s="11"/>
      <c r="D38" s="34"/>
      <c r="E38" s="19" t="s">
        <v>75</v>
      </c>
      <c r="F38" s="12">
        <f>B33*5%*16%*180/365</f>
        <v>6163277.0104109598</v>
      </c>
      <c r="G38" s="63"/>
    </row>
    <row r="39" spans="1:8" ht="21" customHeight="1" x14ac:dyDescent="0.25">
      <c r="A39" s="6"/>
      <c r="B39" s="10"/>
      <c r="C39" s="11"/>
      <c r="D39" s="34"/>
      <c r="E39" s="19" t="s">
        <v>76</v>
      </c>
      <c r="F39" s="12">
        <f>B33*5%*16%*210/365</f>
        <v>7190489.8454794521</v>
      </c>
      <c r="G39" s="63"/>
    </row>
    <row r="40" spans="1:8" ht="44.25" x14ac:dyDescent="0.25">
      <c r="A40" s="31" t="s">
        <v>37</v>
      </c>
      <c r="B40" s="15">
        <f>(B35*95%)-B36</f>
        <v>1375557194</v>
      </c>
      <c r="C40" s="8">
        <f>C35*95%</f>
        <v>376411356</v>
      </c>
      <c r="D40" s="35">
        <f>B40+C40</f>
        <v>1751968550</v>
      </c>
      <c r="E40" s="43"/>
      <c r="F40" s="13">
        <f>SUM(F29:F39)</f>
        <v>61632770.104109593</v>
      </c>
      <c r="G40" s="68">
        <f>SUM(G29:G36)</f>
        <v>12358160.271780822</v>
      </c>
    </row>
    <row r="41" spans="1:8" ht="43.5" customHeight="1" x14ac:dyDescent="0.25">
      <c r="A41" s="31" t="s">
        <v>36</v>
      </c>
      <c r="B41" s="14">
        <f>B35*5%</f>
        <v>75029326</v>
      </c>
      <c r="C41" s="15">
        <f>C35*5%</f>
        <v>19811124</v>
      </c>
      <c r="D41" s="35">
        <f>B41+C41</f>
        <v>94840450</v>
      </c>
      <c r="E41" s="29"/>
      <c r="F41" s="13">
        <f>ROUND(F40,-3)</f>
        <v>61633000</v>
      </c>
      <c r="G41" s="68">
        <f>ROUND(G40,-3)</f>
        <v>12358000</v>
      </c>
      <c r="H41" s="25"/>
    </row>
    <row r="42" spans="1:8" ht="22.5" customHeight="1" x14ac:dyDescent="0.25">
      <c r="A42" s="6" t="s">
        <v>9</v>
      </c>
      <c r="B42" s="10">
        <f>SUM(B36:B41)</f>
        <v>1500586520</v>
      </c>
      <c r="C42" s="10">
        <f>SUM(C36:C41)</f>
        <v>396222480</v>
      </c>
      <c r="D42" s="10">
        <f>SUM(D36:D41)</f>
        <v>1896809000</v>
      </c>
      <c r="E42" s="29"/>
      <c r="F42" s="12"/>
      <c r="G42" s="63"/>
      <c r="H42" s="25"/>
    </row>
    <row r="43" spans="1:8" x14ac:dyDescent="0.25">
      <c r="E43" s="29"/>
      <c r="F43" s="12"/>
      <c r="G43" s="69"/>
      <c r="H43" s="25"/>
    </row>
    <row r="44" spans="1:8" x14ac:dyDescent="0.25">
      <c r="F44" s="13"/>
    </row>
    <row r="45" spans="1:8" x14ac:dyDescent="0.25">
      <c r="F45" s="13">
        <f>F41+G41</f>
        <v>73991000</v>
      </c>
    </row>
    <row r="46" spans="1:8" x14ac:dyDescent="0.25">
      <c r="F46" s="50">
        <f>D26-F45</f>
        <v>1896809000</v>
      </c>
    </row>
  </sheetData>
  <mergeCells count="1">
    <mergeCell ref="A1:C1"/>
  </mergeCells>
  <pageMargins left="0.7" right="0.7" top="0.75" bottom="0.75" header="0.3" footer="0.3"/>
  <pageSetup paperSize="9" scale="65" orientation="portrait" verticalDpi="180" r:id="rId1"/>
  <colBreaks count="1" manualBreakCount="1">
    <brk id="4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D15" sqref="D15:D16"/>
    </sheetView>
  </sheetViews>
  <sheetFormatPr defaultRowHeight="15" x14ac:dyDescent="0.25"/>
  <cols>
    <col min="1" max="1" width="43.28515625" customWidth="1"/>
    <col min="2" max="2" width="17.5703125" bestFit="1" customWidth="1"/>
    <col min="3" max="3" width="27.28515625" customWidth="1"/>
    <col min="4" max="4" width="27.85546875" customWidth="1"/>
    <col min="5" max="5" width="39.5703125" bestFit="1" customWidth="1"/>
    <col min="6" max="6" width="15.28515625" bestFit="1" customWidth="1"/>
    <col min="7" max="7" width="12.28515625" customWidth="1"/>
    <col min="8" max="8" width="14" bestFit="1" customWidth="1"/>
    <col min="9" max="9" width="39.5703125" bestFit="1" customWidth="1"/>
  </cols>
  <sheetData>
    <row r="1" spans="1:10" ht="20.25" x14ac:dyDescent="0.25">
      <c r="A1" s="73" t="s">
        <v>17</v>
      </c>
      <c r="B1" s="73"/>
      <c r="C1" s="73"/>
      <c r="D1" s="32"/>
      <c r="G1" s="1"/>
    </row>
    <row r="2" spans="1:10" ht="22.5" customHeight="1" x14ac:dyDescent="0.25">
      <c r="A2" s="2" t="s">
        <v>0</v>
      </c>
      <c r="B2" s="3" t="s">
        <v>62</v>
      </c>
      <c r="C2" s="4">
        <v>110</v>
      </c>
      <c r="D2" s="33"/>
      <c r="G2" s="1"/>
    </row>
    <row r="3" spans="1:10" ht="22.5" customHeight="1" x14ac:dyDescent="0.25">
      <c r="A3" s="2" t="s">
        <v>1</v>
      </c>
      <c r="B3" s="51">
        <v>21000000</v>
      </c>
      <c r="C3" s="52">
        <f>B4/C2</f>
        <v>27000000</v>
      </c>
      <c r="D3" s="33"/>
      <c r="G3" s="1"/>
    </row>
    <row r="4" spans="1:10" ht="22.5" customHeight="1" x14ac:dyDescent="0.25">
      <c r="A4" s="6" t="s">
        <v>31</v>
      </c>
      <c r="B4" s="53">
        <v>2970000000</v>
      </c>
      <c r="C4" s="8"/>
      <c r="D4" s="12"/>
      <c r="E4" s="1"/>
      <c r="F4" s="1"/>
      <c r="G4" s="9"/>
    </row>
    <row r="5" spans="1:10" ht="22.5" customHeight="1" x14ac:dyDescent="0.25">
      <c r="A5" s="6" t="s">
        <v>19</v>
      </c>
      <c r="B5" s="7">
        <f>B4*2%</f>
        <v>59400000</v>
      </c>
      <c r="C5" s="23"/>
      <c r="D5" s="12"/>
      <c r="E5" s="1"/>
      <c r="F5" s="1"/>
      <c r="G5" s="9"/>
    </row>
    <row r="6" spans="1:10" ht="22.5" customHeight="1" x14ac:dyDescent="0.25">
      <c r="A6" s="6" t="s">
        <v>20</v>
      </c>
      <c r="B6" s="7">
        <f>B4-B5</f>
        <v>2910600000</v>
      </c>
      <c r="C6" s="54">
        <v>673073280</v>
      </c>
      <c r="D6" s="12" t="s">
        <v>60</v>
      </c>
      <c r="E6" s="1"/>
      <c r="F6" s="1"/>
      <c r="G6" s="9"/>
    </row>
    <row r="7" spans="1:10" ht="22.5" customHeight="1" x14ac:dyDescent="0.25">
      <c r="A7" s="6" t="s">
        <v>10</v>
      </c>
      <c r="B7" s="53">
        <v>2296926720</v>
      </c>
      <c r="C7" s="8">
        <f>C6-B5</f>
        <v>613673280</v>
      </c>
      <c r="D7" s="24" t="s">
        <v>21</v>
      </c>
      <c r="E7" s="12"/>
      <c r="F7" s="22"/>
      <c r="G7" s="9"/>
      <c r="H7" s="25"/>
      <c r="I7" s="25"/>
      <c r="J7" s="25"/>
    </row>
    <row r="8" spans="1:10" ht="22.5" customHeight="1" x14ac:dyDescent="0.25">
      <c r="A8" s="6" t="s">
        <v>14</v>
      </c>
      <c r="B8" s="10">
        <f>2*14500000</f>
        <v>29000000</v>
      </c>
      <c r="C8" s="11"/>
      <c r="D8" s="29"/>
      <c r="E8" s="21"/>
      <c r="F8" s="12"/>
      <c r="G8" s="9"/>
      <c r="H8" s="38"/>
      <c r="I8" s="25"/>
      <c r="J8" s="25"/>
    </row>
    <row r="9" spans="1:10" ht="22.5" hidden="1" customHeight="1" x14ac:dyDescent="0.25">
      <c r="A9" s="6" t="s">
        <v>2</v>
      </c>
      <c r="B9" s="10">
        <f>ROUND((C7-B8)*0%,-3)</f>
        <v>0</v>
      </c>
      <c r="C9" s="11"/>
      <c r="D9" s="29"/>
      <c r="E9" s="12"/>
      <c r="F9" s="12"/>
      <c r="G9" s="12"/>
      <c r="H9" s="39"/>
      <c r="I9" s="25"/>
      <c r="J9" s="25"/>
    </row>
    <row r="10" spans="1:10" ht="22.5" customHeight="1" x14ac:dyDescent="0.25">
      <c r="A10" s="6" t="s">
        <v>3</v>
      </c>
      <c r="B10" s="14">
        <f>B7</f>
        <v>2296926720</v>
      </c>
      <c r="C10" s="15">
        <f>C7-B8</f>
        <v>584673280</v>
      </c>
      <c r="D10" s="24" t="s">
        <v>21</v>
      </c>
      <c r="E10" s="12">
        <f>B10+C10</f>
        <v>2881600000</v>
      </c>
      <c r="F10" s="25"/>
      <c r="G10" s="12"/>
      <c r="H10" s="25"/>
      <c r="I10" s="25"/>
      <c r="J10" s="25"/>
    </row>
    <row r="11" spans="1:10" ht="35.25" customHeight="1" x14ac:dyDescent="0.3">
      <c r="A11" s="36" t="s">
        <v>56</v>
      </c>
      <c r="B11" s="16"/>
      <c r="C11" s="36" t="s">
        <v>55</v>
      </c>
      <c r="D11" s="36" t="s">
        <v>22</v>
      </c>
      <c r="E11" s="30"/>
      <c r="F11" s="25"/>
      <c r="G11" s="30"/>
      <c r="H11" s="30"/>
      <c r="I11" s="30"/>
      <c r="J11" s="25"/>
    </row>
    <row r="12" spans="1:10" ht="31.5" customHeight="1" x14ac:dyDescent="0.3">
      <c r="A12" s="31" t="s">
        <v>25</v>
      </c>
      <c r="B12" s="10">
        <v>50000000</v>
      </c>
      <c r="C12" s="11"/>
      <c r="D12" s="14">
        <f>B12</f>
        <v>50000000</v>
      </c>
      <c r="E12" s="58">
        <f>SUM(D12:D14)</f>
        <v>981414656</v>
      </c>
      <c r="F12" s="25"/>
      <c r="G12" s="30"/>
      <c r="H12" s="30"/>
      <c r="I12" s="30"/>
      <c r="J12" s="25"/>
    </row>
    <row r="13" spans="1:10" ht="44.25" x14ac:dyDescent="0.25">
      <c r="A13" s="31" t="s">
        <v>64</v>
      </c>
      <c r="B13" s="15">
        <f>(B10*20%)-B12</f>
        <v>409385344</v>
      </c>
      <c r="C13" s="55">
        <f>C10*25%</f>
        <v>146168320</v>
      </c>
      <c r="D13" s="15">
        <f>B13+C13</f>
        <v>555553664</v>
      </c>
      <c r="E13" s="26"/>
      <c r="F13" s="25"/>
      <c r="G13" s="27"/>
      <c r="H13" s="28"/>
      <c r="I13" s="26"/>
      <c r="J13" s="25"/>
    </row>
    <row r="14" spans="1:10" ht="35.25" customHeight="1" x14ac:dyDescent="0.25">
      <c r="A14" s="31" t="s">
        <v>65</v>
      </c>
      <c r="B14" s="15">
        <f>B10*10%</f>
        <v>229692672</v>
      </c>
      <c r="C14" s="15">
        <f>C10*25%</f>
        <v>146168320</v>
      </c>
      <c r="D14" s="15">
        <f t="shared" ref="D14:D16" si="0">B14+C14</f>
        <v>375860992</v>
      </c>
      <c r="E14" s="29"/>
      <c r="F14" s="25"/>
      <c r="G14" s="27"/>
      <c r="H14" s="28"/>
      <c r="I14" s="29"/>
      <c r="J14" s="25"/>
    </row>
    <row r="15" spans="1:10" ht="35.25" customHeight="1" x14ac:dyDescent="0.25">
      <c r="A15" s="31" t="s">
        <v>94</v>
      </c>
      <c r="B15" s="15"/>
      <c r="C15" s="15">
        <f>C10*25%</f>
        <v>146168320</v>
      </c>
      <c r="D15" s="15">
        <f t="shared" si="0"/>
        <v>146168320</v>
      </c>
      <c r="E15" s="29"/>
      <c r="F15" s="25"/>
      <c r="G15" s="27"/>
      <c r="H15" s="28"/>
      <c r="I15" s="29"/>
      <c r="J15" s="25"/>
    </row>
    <row r="16" spans="1:10" ht="35.25" customHeight="1" x14ac:dyDescent="0.25">
      <c r="A16" s="31" t="s">
        <v>95</v>
      </c>
      <c r="B16" s="15"/>
      <c r="C16" s="15">
        <f>C10*20%</f>
        <v>116934656</v>
      </c>
      <c r="D16" s="15">
        <f t="shared" si="0"/>
        <v>116934656</v>
      </c>
      <c r="E16" s="29"/>
      <c r="F16" s="25"/>
      <c r="G16" s="27"/>
      <c r="H16" s="28"/>
      <c r="I16" s="29"/>
      <c r="J16" s="25"/>
    </row>
    <row r="17" spans="1:12" ht="47.25" customHeight="1" x14ac:dyDescent="0.25">
      <c r="A17" s="31" t="s">
        <v>96</v>
      </c>
      <c r="B17" s="15">
        <f>B10*65%</f>
        <v>1493002368</v>
      </c>
      <c r="C17" s="15"/>
      <c r="D17" s="15">
        <f>B17+C17</f>
        <v>1493002368</v>
      </c>
      <c r="E17" s="29"/>
      <c r="F17" s="25"/>
      <c r="G17" s="27"/>
      <c r="H17" s="28"/>
      <c r="I17" s="29"/>
      <c r="J17" s="25"/>
    </row>
    <row r="18" spans="1:12" ht="61.5" customHeight="1" x14ac:dyDescent="0.25">
      <c r="A18" s="31" t="s">
        <v>53</v>
      </c>
      <c r="B18" s="15">
        <f>B10*5%</f>
        <v>114846336</v>
      </c>
      <c r="C18" s="57">
        <f>C10*5%</f>
        <v>29233664</v>
      </c>
      <c r="D18" s="42">
        <f>B18+C18</f>
        <v>144080000</v>
      </c>
      <c r="E18" s="29"/>
      <c r="F18" s="25"/>
      <c r="G18" s="27"/>
      <c r="H18" s="28"/>
      <c r="I18" s="29"/>
      <c r="J18" s="25"/>
      <c r="K18" s="25"/>
      <c r="L18" s="25"/>
    </row>
    <row r="19" spans="1:12" ht="24" customHeight="1" x14ac:dyDescent="0.25">
      <c r="A19" s="6" t="s">
        <v>9</v>
      </c>
      <c r="B19" s="37">
        <f>SUM(B12:B18)</f>
        <v>2296926720</v>
      </c>
      <c r="C19" s="37">
        <f>SUM(C12:C18)</f>
        <v>584673280</v>
      </c>
      <c r="D19" s="37">
        <f>SUM(D12:D18)</f>
        <v>2881600000</v>
      </c>
      <c r="E19" s="18"/>
      <c r="G19" s="17"/>
    </row>
    <row r="20" spans="1:12" x14ac:dyDescent="0.25">
      <c r="E20" s="29"/>
      <c r="F20" s="12"/>
      <c r="G20" s="25"/>
      <c r="H20" s="25"/>
    </row>
    <row r="21" spans="1:12" x14ac:dyDescent="0.25">
      <c r="F21" s="13"/>
    </row>
    <row r="22" spans="1:12" x14ac:dyDescent="0.25">
      <c r="F22" s="13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13" workbookViewId="0">
      <selection activeCell="C8" sqref="C8"/>
    </sheetView>
  </sheetViews>
  <sheetFormatPr defaultRowHeight="15" x14ac:dyDescent="0.25"/>
  <cols>
    <col min="1" max="1" width="43.28515625" customWidth="1"/>
    <col min="2" max="2" width="17.5703125" bestFit="1" customWidth="1"/>
    <col min="3" max="3" width="27.28515625" customWidth="1"/>
    <col min="4" max="4" width="27.85546875" customWidth="1"/>
    <col min="5" max="5" width="39.5703125" bestFit="1" customWidth="1"/>
    <col min="6" max="6" width="15.28515625" bestFit="1" customWidth="1"/>
    <col min="7" max="7" width="12.28515625" customWidth="1"/>
    <col min="8" max="8" width="14" bestFit="1" customWidth="1"/>
    <col min="9" max="9" width="39.5703125" bestFit="1" customWidth="1"/>
  </cols>
  <sheetData>
    <row r="1" spans="1:10" ht="20.25" x14ac:dyDescent="0.25">
      <c r="A1" s="73" t="s">
        <v>17</v>
      </c>
      <c r="B1" s="73"/>
      <c r="C1" s="73"/>
      <c r="D1" s="32"/>
      <c r="G1" s="1"/>
    </row>
    <row r="2" spans="1:10" ht="22.5" customHeight="1" x14ac:dyDescent="0.25">
      <c r="A2" s="2" t="s">
        <v>0</v>
      </c>
      <c r="B2" s="3" t="s">
        <v>62</v>
      </c>
      <c r="C2" s="4">
        <v>110</v>
      </c>
      <c r="D2" s="33"/>
      <c r="G2" s="1"/>
    </row>
    <row r="3" spans="1:10" ht="22.5" customHeight="1" x14ac:dyDescent="0.25">
      <c r="A3" s="2" t="s">
        <v>1</v>
      </c>
      <c r="B3" s="51">
        <v>21000000</v>
      </c>
      <c r="C3" s="52">
        <f>B4/C2</f>
        <v>27000000</v>
      </c>
      <c r="D3" s="33"/>
      <c r="G3" s="1"/>
    </row>
    <row r="4" spans="1:10" ht="22.5" customHeight="1" x14ac:dyDescent="0.25">
      <c r="A4" s="6" t="s">
        <v>31</v>
      </c>
      <c r="B4" s="53">
        <v>2970000000</v>
      </c>
      <c r="C4" s="8"/>
      <c r="D4" s="12"/>
      <c r="E4" s="1"/>
      <c r="F4" s="1"/>
      <c r="G4" s="9"/>
    </row>
    <row r="5" spans="1:10" ht="22.5" customHeight="1" x14ac:dyDescent="0.25">
      <c r="A5" s="6" t="s">
        <v>19</v>
      </c>
      <c r="B5" s="7">
        <f>B4*2%</f>
        <v>59400000</v>
      </c>
      <c r="C5" s="23"/>
      <c r="D5" s="12"/>
      <c r="E5" s="1"/>
      <c r="F5" s="1"/>
      <c r="G5" s="9"/>
    </row>
    <row r="6" spans="1:10" ht="22.5" customHeight="1" x14ac:dyDescent="0.25">
      <c r="A6" s="6" t="s">
        <v>20</v>
      </c>
      <c r="B6" s="7">
        <f>B4-B5</f>
        <v>2910600000</v>
      </c>
      <c r="C6" s="54">
        <v>673073280</v>
      </c>
      <c r="D6" s="12" t="s">
        <v>60</v>
      </c>
      <c r="E6" s="1"/>
      <c r="F6" s="1"/>
      <c r="G6" s="9"/>
    </row>
    <row r="7" spans="1:10" ht="22.5" customHeight="1" x14ac:dyDescent="0.25">
      <c r="A7" s="6" t="s">
        <v>10</v>
      </c>
      <c r="B7" s="53">
        <v>2296926720</v>
      </c>
      <c r="C7" s="8">
        <f>C6-B5</f>
        <v>613673280</v>
      </c>
      <c r="D7" s="24" t="s">
        <v>21</v>
      </c>
      <c r="E7" s="12"/>
      <c r="F7" s="22"/>
      <c r="G7" s="9"/>
      <c r="H7" s="25"/>
      <c r="I7" s="25"/>
      <c r="J7" s="25"/>
    </row>
    <row r="8" spans="1:10" ht="22.5" customHeight="1" x14ac:dyDescent="0.25">
      <c r="A8" s="6" t="s">
        <v>14</v>
      </c>
      <c r="B8" s="10">
        <f>2*14500000</f>
        <v>29000000</v>
      </c>
      <c r="C8" s="11"/>
      <c r="D8" s="29"/>
      <c r="E8" s="21"/>
      <c r="F8" s="12"/>
      <c r="G8" s="9"/>
      <c r="H8" s="38"/>
      <c r="I8" s="25"/>
      <c r="J8" s="25"/>
    </row>
    <row r="9" spans="1:10" ht="22.5" hidden="1" customHeight="1" x14ac:dyDescent="0.25">
      <c r="A9" s="6" t="s">
        <v>2</v>
      </c>
      <c r="B9" s="10">
        <f>ROUND((C7-B8)*0%,-3)</f>
        <v>0</v>
      </c>
      <c r="C9" s="11"/>
      <c r="D9" s="29"/>
      <c r="E9" s="12"/>
      <c r="F9" s="12"/>
      <c r="G9" s="12"/>
      <c r="H9" s="39"/>
      <c r="I9" s="25"/>
      <c r="J9" s="25"/>
    </row>
    <row r="10" spans="1:10" ht="22.5" customHeight="1" x14ac:dyDescent="0.25">
      <c r="A10" s="6" t="s">
        <v>3</v>
      </c>
      <c r="B10" s="14">
        <f>B7</f>
        <v>2296926720</v>
      </c>
      <c r="C10" s="15">
        <f>C7-B8</f>
        <v>584673280</v>
      </c>
      <c r="D10" s="24" t="s">
        <v>21</v>
      </c>
      <c r="E10" s="12">
        <f>B10+C10</f>
        <v>2881600000</v>
      </c>
      <c r="F10" s="25"/>
      <c r="G10" s="12"/>
      <c r="H10" s="25"/>
      <c r="I10" s="25"/>
      <c r="J10" s="25"/>
    </row>
    <row r="11" spans="1:10" ht="35.25" customHeight="1" x14ac:dyDescent="0.3">
      <c r="A11" s="36" t="s">
        <v>56</v>
      </c>
      <c r="B11" s="16"/>
      <c r="C11" s="36" t="s">
        <v>55</v>
      </c>
      <c r="D11" s="36" t="s">
        <v>22</v>
      </c>
      <c r="E11" s="30"/>
      <c r="F11" s="25"/>
      <c r="G11" s="30"/>
      <c r="H11" s="30"/>
      <c r="I11" s="30"/>
      <c r="J11" s="25"/>
    </row>
    <row r="12" spans="1:10" ht="31.5" customHeight="1" x14ac:dyDescent="0.3">
      <c r="A12" s="31" t="s">
        <v>25</v>
      </c>
      <c r="B12" s="10">
        <v>50000000</v>
      </c>
      <c r="C12" s="11"/>
      <c r="D12" s="14">
        <f>B12</f>
        <v>50000000</v>
      </c>
      <c r="E12" s="58">
        <f>SUM(D12:D14)</f>
        <v>866568320</v>
      </c>
      <c r="F12" s="25"/>
      <c r="G12" s="30"/>
      <c r="H12" s="30"/>
      <c r="I12" s="30"/>
      <c r="J12" s="25"/>
    </row>
    <row r="13" spans="1:10" ht="44.25" x14ac:dyDescent="0.25">
      <c r="A13" s="31" t="s">
        <v>91</v>
      </c>
      <c r="B13" s="15">
        <f>(B10*15%)-B12</f>
        <v>294539008</v>
      </c>
      <c r="C13" s="55">
        <f>C10*25%</f>
        <v>146168320</v>
      </c>
      <c r="D13" s="15">
        <f>B13+C13</f>
        <v>440707328</v>
      </c>
      <c r="E13" s="26"/>
      <c r="F13" s="25"/>
      <c r="G13" s="27"/>
      <c r="H13" s="28"/>
      <c r="I13" s="26"/>
      <c r="J13" s="25"/>
    </row>
    <row r="14" spans="1:10" ht="35.25" customHeight="1" x14ac:dyDescent="0.25">
      <c r="A14" s="31" t="s">
        <v>65</v>
      </c>
      <c r="B14" s="15">
        <f>B10*10%</f>
        <v>229692672</v>
      </c>
      <c r="C14" s="15">
        <f>C10*25%</f>
        <v>146168320</v>
      </c>
      <c r="D14" s="15">
        <f t="shared" ref="D14:D15" si="0">B14+C14</f>
        <v>375860992</v>
      </c>
      <c r="E14" s="29"/>
      <c r="F14" s="25"/>
      <c r="G14" s="27"/>
      <c r="H14" s="28"/>
      <c r="I14" s="29"/>
      <c r="J14" s="25"/>
    </row>
    <row r="15" spans="1:10" ht="35.25" customHeight="1" x14ac:dyDescent="0.25">
      <c r="A15" s="31" t="s">
        <v>92</v>
      </c>
      <c r="B15" s="15">
        <f>B10*5%</f>
        <v>114846336</v>
      </c>
      <c r="C15" s="15">
        <f>C10*25%</f>
        <v>146168320</v>
      </c>
      <c r="D15" s="15">
        <f t="shared" si="0"/>
        <v>261014656</v>
      </c>
      <c r="E15" s="29"/>
      <c r="F15" s="25"/>
      <c r="G15" s="27"/>
      <c r="H15" s="28"/>
      <c r="I15" s="29"/>
      <c r="J15" s="25"/>
    </row>
    <row r="16" spans="1:10" ht="47.25" customHeight="1" x14ac:dyDescent="0.25">
      <c r="A16" s="31" t="s">
        <v>93</v>
      </c>
      <c r="B16" s="15">
        <f>B10*65%</f>
        <v>1493002368</v>
      </c>
      <c r="C16" s="15">
        <f>C10*20%</f>
        <v>116934656</v>
      </c>
      <c r="D16" s="15">
        <f>B16+C16</f>
        <v>1609937024</v>
      </c>
      <c r="E16" s="29"/>
      <c r="F16" s="25"/>
      <c r="G16" s="27"/>
      <c r="H16" s="28"/>
      <c r="I16" s="29"/>
      <c r="J16" s="25"/>
    </row>
    <row r="17" spans="1:12" ht="47.25" customHeight="1" x14ac:dyDescent="0.25">
      <c r="A17" s="31"/>
      <c r="B17" s="15"/>
      <c r="C17" s="72"/>
      <c r="D17" s="15"/>
      <c r="E17" s="29"/>
      <c r="F17" s="25"/>
      <c r="G17" s="27"/>
      <c r="H17" s="28"/>
      <c r="I17" s="29"/>
      <c r="J17" s="25"/>
    </row>
    <row r="18" spans="1:12" ht="61.5" customHeight="1" x14ac:dyDescent="0.25">
      <c r="A18" s="31" t="s">
        <v>53</v>
      </c>
      <c r="B18" s="15">
        <f>B10*5%</f>
        <v>114846336</v>
      </c>
      <c r="C18" s="47">
        <f>C10*5%</f>
        <v>29233664</v>
      </c>
      <c r="D18" s="42">
        <f>B18+C18</f>
        <v>144080000</v>
      </c>
      <c r="E18" s="29"/>
      <c r="F18" s="25"/>
      <c r="G18" s="27"/>
      <c r="H18" s="28"/>
      <c r="I18" s="29"/>
      <c r="J18" s="25"/>
      <c r="K18" s="25"/>
      <c r="L18" s="25"/>
    </row>
    <row r="19" spans="1:12" ht="24" customHeight="1" x14ac:dyDescent="0.25">
      <c r="A19" s="6" t="s">
        <v>9</v>
      </c>
      <c r="B19" s="37">
        <f>SUM(B12:B18)</f>
        <v>2296926720</v>
      </c>
      <c r="C19" s="37">
        <f>SUM(C12:C18)</f>
        <v>584673280</v>
      </c>
      <c r="D19" s="37">
        <f>SUM(D12:D18)</f>
        <v>2881600000</v>
      </c>
      <c r="E19" s="18"/>
      <c r="G19" s="17"/>
    </row>
    <row r="20" spans="1:12" x14ac:dyDescent="0.25">
      <c r="E20" s="29"/>
      <c r="F20" s="12"/>
      <c r="G20" s="25"/>
      <c r="H20" s="25"/>
    </row>
    <row r="21" spans="1:12" x14ac:dyDescent="0.25">
      <c r="F21" s="13"/>
    </row>
    <row r="22" spans="1:12" x14ac:dyDescent="0.25">
      <c r="F22" s="13"/>
    </row>
  </sheetData>
  <mergeCells count="1">
    <mergeCell ref="A1:C1"/>
  </mergeCells>
  <pageMargins left="0.7" right="0.7" top="0.75" bottom="0.75" header="0.3" footer="0.3"/>
  <pageSetup paperSize="9" orientation="portrait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33" workbookViewId="0">
      <selection activeCell="G34" sqref="G34"/>
    </sheetView>
  </sheetViews>
  <sheetFormatPr defaultRowHeight="15" x14ac:dyDescent="0.25"/>
  <cols>
    <col min="1" max="1" width="49.7109375" customWidth="1"/>
    <col min="2" max="2" width="17.5703125" bestFit="1" customWidth="1"/>
    <col min="3" max="3" width="27.28515625" customWidth="1"/>
    <col min="4" max="4" width="27.85546875" customWidth="1"/>
    <col min="5" max="5" width="39.5703125" bestFit="1" customWidth="1"/>
    <col min="6" max="6" width="15.28515625" bestFit="1" customWidth="1"/>
    <col min="7" max="7" width="12.28515625" style="68" customWidth="1"/>
    <col min="8" max="8" width="14" bestFit="1" customWidth="1"/>
    <col min="9" max="9" width="39.5703125" bestFit="1" customWidth="1"/>
  </cols>
  <sheetData>
    <row r="1" spans="1:12" ht="20.25" x14ac:dyDescent="0.25">
      <c r="A1" s="73" t="s">
        <v>17</v>
      </c>
      <c r="B1" s="73"/>
      <c r="C1" s="73"/>
      <c r="D1" s="32"/>
      <c r="G1" s="62"/>
    </row>
    <row r="2" spans="1:12" ht="22.5" customHeight="1" x14ac:dyDescent="0.25">
      <c r="A2" s="2" t="s">
        <v>0</v>
      </c>
      <c r="B2" s="3" t="s">
        <v>61</v>
      </c>
      <c r="C2" s="4">
        <v>312</v>
      </c>
      <c r="D2" s="33"/>
      <c r="G2" s="62"/>
    </row>
    <row r="3" spans="1:12" ht="22.5" customHeight="1" x14ac:dyDescent="0.25">
      <c r="A3" s="2" t="s">
        <v>1</v>
      </c>
      <c r="B3" s="51">
        <v>17560763.890000001</v>
      </c>
      <c r="C3" s="52">
        <f>B4/C2</f>
        <v>17000000</v>
      </c>
      <c r="D3" s="33"/>
      <c r="G3" s="62"/>
    </row>
    <row r="4" spans="1:12" ht="22.5" customHeight="1" x14ac:dyDescent="0.25">
      <c r="A4" s="6" t="s">
        <v>31</v>
      </c>
      <c r="B4" s="53">
        <v>5304000000</v>
      </c>
      <c r="C4" s="8"/>
      <c r="D4" s="12"/>
      <c r="E4" s="1"/>
      <c r="F4" s="1"/>
      <c r="G4" s="63"/>
    </row>
    <row r="5" spans="1:12" ht="22.5" customHeight="1" x14ac:dyDescent="0.25">
      <c r="A5" s="6" t="s">
        <v>19</v>
      </c>
      <c r="B5" s="7">
        <f>B4*2%</f>
        <v>106080000</v>
      </c>
      <c r="C5" s="23"/>
      <c r="D5" s="12"/>
      <c r="E5" s="1"/>
      <c r="F5" s="1"/>
      <c r="G5" s="63"/>
    </row>
    <row r="6" spans="1:12" ht="22.5" customHeight="1" x14ac:dyDescent="0.25">
      <c r="A6" s="6" t="s">
        <v>20</v>
      </c>
      <c r="B6" s="7">
        <f>B4-B5</f>
        <v>5197920000</v>
      </c>
      <c r="C6" s="54">
        <v>1202031696</v>
      </c>
      <c r="D6" s="12" t="s">
        <v>60</v>
      </c>
      <c r="E6" s="1"/>
      <c r="F6" s="1"/>
      <c r="G6" s="63"/>
    </row>
    <row r="7" spans="1:12" ht="22.5" customHeight="1" x14ac:dyDescent="0.25">
      <c r="A7" s="6" t="s">
        <v>10</v>
      </c>
      <c r="B7" s="53">
        <v>4101986304</v>
      </c>
      <c r="C7" s="8">
        <f>C6-B5</f>
        <v>1095951696</v>
      </c>
      <c r="D7" s="24" t="s">
        <v>21</v>
      </c>
      <c r="E7" s="12"/>
      <c r="F7" s="22"/>
      <c r="G7" s="63"/>
      <c r="H7" s="25"/>
      <c r="I7" s="25"/>
      <c r="J7" s="25"/>
    </row>
    <row r="8" spans="1:12" ht="22.5" customHeight="1" x14ac:dyDescent="0.25">
      <c r="A8" s="6" t="s">
        <v>18</v>
      </c>
      <c r="B8" s="70">
        <f>5.5*14500000</f>
        <v>79750000</v>
      </c>
      <c r="C8" s="11" t="s">
        <v>63</v>
      </c>
      <c r="D8" s="29"/>
      <c r="E8" s="21"/>
      <c r="F8" s="12"/>
      <c r="G8" s="63"/>
      <c r="H8" s="38"/>
      <c r="I8" s="25"/>
      <c r="J8" s="25"/>
    </row>
    <row r="9" spans="1:12" ht="22.5" hidden="1" customHeight="1" x14ac:dyDescent="0.25">
      <c r="A9" s="6" t="s">
        <v>2</v>
      </c>
      <c r="B9" s="10">
        <f>ROUND((C7-B8)*0%,-3)</f>
        <v>0</v>
      </c>
      <c r="C9" s="11"/>
      <c r="D9" s="29"/>
      <c r="E9" s="12"/>
      <c r="F9" s="12"/>
      <c r="G9" s="63"/>
      <c r="H9" s="39"/>
      <c r="I9" s="25"/>
      <c r="J9" s="25"/>
    </row>
    <row r="10" spans="1:12" ht="22.5" customHeight="1" x14ac:dyDescent="0.25">
      <c r="A10" s="6" t="s">
        <v>3</v>
      </c>
      <c r="B10" s="14">
        <f>B7</f>
        <v>4101986304</v>
      </c>
      <c r="C10" s="15">
        <f>C7-B8</f>
        <v>1016201696</v>
      </c>
      <c r="D10" s="24" t="s">
        <v>21</v>
      </c>
      <c r="E10" s="12">
        <f>B10+C10</f>
        <v>5118188000</v>
      </c>
      <c r="F10" s="25"/>
      <c r="G10" s="63"/>
      <c r="H10" s="25"/>
      <c r="I10" s="25"/>
      <c r="J10" s="25"/>
    </row>
    <row r="11" spans="1:12" ht="35.25" customHeight="1" x14ac:dyDescent="0.3">
      <c r="A11" s="36" t="s">
        <v>23</v>
      </c>
      <c r="B11" s="16"/>
      <c r="C11" s="36" t="s">
        <v>24</v>
      </c>
      <c r="D11" s="36" t="s">
        <v>22</v>
      </c>
      <c r="E11" s="30"/>
      <c r="F11" s="25"/>
      <c r="G11" s="64"/>
      <c r="H11" s="30"/>
      <c r="I11" s="30"/>
      <c r="J11" s="25"/>
    </row>
    <row r="12" spans="1:12" ht="31.5" customHeight="1" x14ac:dyDescent="0.3">
      <c r="A12" s="31" t="s">
        <v>25</v>
      </c>
      <c r="B12" s="10">
        <v>50000000</v>
      </c>
      <c r="C12" s="11"/>
      <c r="D12" s="14">
        <f>B12</f>
        <v>50000000</v>
      </c>
      <c r="E12" s="26"/>
      <c r="F12" s="25"/>
      <c r="G12" s="64"/>
      <c r="H12" s="30"/>
      <c r="I12" s="30"/>
      <c r="J12" s="25"/>
    </row>
    <row r="13" spans="1:12" ht="44.25" x14ac:dyDescent="0.25">
      <c r="A13" s="31" t="s">
        <v>77</v>
      </c>
      <c r="B13" s="15">
        <f>(B10*15%)-B12</f>
        <v>565297945.60000002</v>
      </c>
      <c r="C13" s="15">
        <f>C10*25%</f>
        <v>254050424</v>
      </c>
      <c r="D13" s="15">
        <f>B13+C13</f>
        <v>819348369.60000002</v>
      </c>
      <c r="E13" s="26"/>
      <c r="F13" s="25"/>
      <c r="G13" s="65"/>
      <c r="H13" s="28"/>
      <c r="I13" s="26"/>
      <c r="J13" s="25"/>
    </row>
    <row r="14" spans="1:12" ht="58.5" x14ac:dyDescent="0.25">
      <c r="A14" s="31" t="s">
        <v>78</v>
      </c>
      <c r="B14" s="15">
        <f>B10*10%</f>
        <v>410198630.40000004</v>
      </c>
      <c r="C14" s="15">
        <f>C10*25%</f>
        <v>254050424</v>
      </c>
      <c r="D14" s="15">
        <f t="shared" ref="D14:D15" si="0">B14+C14</f>
        <v>664249054.4000001</v>
      </c>
      <c r="E14" s="29"/>
      <c r="F14" s="25"/>
      <c r="G14" s="65"/>
      <c r="H14" s="28"/>
      <c r="I14" s="29"/>
      <c r="J14" s="25"/>
    </row>
    <row r="15" spans="1:12" ht="60" customHeight="1" x14ac:dyDescent="0.25">
      <c r="A15" s="46" t="s">
        <v>79</v>
      </c>
      <c r="B15" s="15">
        <f>B10*10%</f>
        <v>410198630.40000004</v>
      </c>
      <c r="C15" s="15">
        <f>C10*25%</f>
        <v>254050424</v>
      </c>
      <c r="D15" s="15">
        <f t="shared" si="0"/>
        <v>664249054.4000001</v>
      </c>
      <c r="E15" s="29"/>
      <c r="F15" s="25"/>
      <c r="G15" s="65"/>
      <c r="H15" s="28"/>
      <c r="I15" s="29"/>
      <c r="J15" s="25"/>
    </row>
    <row r="16" spans="1:12" ht="49.5" customHeight="1" x14ac:dyDescent="0.25">
      <c r="A16" s="31" t="s">
        <v>80</v>
      </c>
      <c r="B16" s="15">
        <f>B10*10%</f>
        <v>410198630.40000004</v>
      </c>
      <c r="C16" s="55">
        <f>C10*20%</f>
        <v>203240339.20000002</v>
      </c>
      <c r="D16" s="42">
        <f>B16+C16</f>
        <v>613438969.60000002</v>
      </c>
      <c r="E16" s="29"/>
      <c r="F16" s="25"/>
      <c r="G16" s="65"/>
      <c r="H16" s="28"/>
      <c r="I16" s="29"/>
      <c r="J16" s="25"/>
      <c r="K16" s="25"/>
      <c r="L16" s="25"/>
    </row>
    <row r="17" spans="1:10" ht="48.75" customHeight="1" x14ac:dyDescent="0.25">
      <c r="A17" s="31" t="s">
        <v>81</v>
      </c>
      <c r="B17" s="15">
        <f>B10*10%</f>
        <v>410198630.40000004</v>
      </c>
      <c r="C17" s="71">
        <f>C10*5%</f>
        <v>50810084.800000004</v>
      </c>
      <c r="D17" s="42">
        <f t="shared" ref="D17:D25" si="1">B17</f>
        <v>410198630.40000004</v>
      </c>
      <c r="E17" s="29"/>
      <c r="F17" s="25"/>
      <c r="G17" s="65"/>
      <c r="H17" s="40"/>
      <c r="I17" s="29"/>
      <c r="J17" s="25"/>
    </row>
    <row r="18" spans="1:10" ht="31.5" customHeight="1" x14ac:dyDescent="0.25">
      <c r="A18" s="31" t="s">
        <v>82</v>
      </c>
      <c r="B18" s="15">
        <f>B10*5%</f>
        <v>205099315.20000002</v>
      </c>
      <c r="C18" s="59"/>
      <c r="D18" s="42">
        <f t="shared" si="1"/>
        <v>205099315.20000002</v>
      </c>
      <c r="E18" s="29"/>
      <c r="F18" s="25"/>
      <c r="G18" s="66"/>
      <c r="H18" s="25"/>
      <c r="I18" s="25"/>
      <c r="J18" s="25"/>
    </row>
    <row r="19" spans="1:10" ht="34.5" customHeight="1" x14ac:dyDescent="0.25">
      <c r="A19" s="31" t="s">
        <v>83</v>
      </c>
      <c r="B19" s="15">
        <f>B10*5%</f>
        <v>205099315.20000002</v>
      </c>
      <c r="C19" s="59"/>
      <c r="D19" s="42">
        <f t="shared" si="1"/>
        <v>205099315.20000002</v>
      </c>
      <c r="E19" s="29"/>
      <c r="G19" s="62"/>
    </row>
    <row r="20" spans="1:10" ht="33" customHeight="1" x14ac:dyDescent="0.25">
      <c r="A20" s="31" t="s">
        <v>84</v>
      </c>
      <c r="B20" s="15">
        <f>B10*5%</f>
        <v>205099315.20000002</v>
      </c>
      <c r="C20" s="59"/>
      <c r="D20" s="42">
        <f t="shared" si="1"/>
        <v>205099315.20000002</v>
      </c>
      <c r="E20" s="29"/>
      <c r="G20" s="62"/>
    </row>
    <row r="21" spans="1:10" ht="33" customHeight="1" x14ac:dyDescent="0.25">
      <c r="A21" s="31" t="s">
        <v>85</v>
      </c>
      <c r="B21" s="15">
        <f>B10*5%</f>
        <v>205099315.20000002</v>
      </c>
      <c r="C21" s="59"/>
      <c r="D21" s="42"/>
      <c r="E21" s="29"/>
      <c r="G21" s="62"/>
    </row>
    <row r="22" spans="1:10" ht="33" customHeight="1" x14ac:dyDescent="0.25">
      <c r="A22" s="31" t="s">
        <v>86</v>
      </c>
      <c r="B22" s="15">
        <f>B10*5%</f>
        <v>205099315.20000002</v>
      </c>
      <c r="C22" s="59"/>
      <c r="D22" s="42"/>
      <c r="E22" s="29"/>
      <c r="G22" s="62"/>
    </row>
    <row r="23" spans="1:10" ht="33" customHeight="1" x14ac:dyDescent="0.25">
      <c r="A23" s="31" t="s">
        <v>87</v>
      </c>
      <c r="B23" s="15">
        <f>B10*5%</f>
        <v>205099315.20000002</v>
      </c>
      <c r="C23" s="59"/>
      <c r="D23" s="42"/>
      <c r="E23" s="29"/>
      <c r="G23" s="62"/>
    </row>
    <row r="24" spans="1:10" ht="33" customHeight="1" x14ac:dyDescent="0.25">
      <c r="A24" s="31" t="s">
        <v>88</v>
      </c>
      <c r="B24" s="15">
        <f>B10*5%</f>
        <v>205099315.20000002</v>
      </c>
      <c r="C24" s="59"/>
      <c r="D24" s="42"/>
      <c r="E24" s="29"/>
      <c r="G24" s="62"/>
    </row>
    <row r="25" spans="1:10" ht="32.25" customHeight="1" x14ac:dyDescent="0.25">
      <c r="A25" s="31" t="s">
        <v>89</v>
      </c>
      <c r="B25" s="15">
        <f>B10*5%</f>
        <v>205099315.20000002</v>
      </c>
      <c r="C25" s="59"/>
      <c r="D25" s="42">
        <f t="shared" si="1"/>
        <v>205099315.20000002</v>
      </c>
      <c r="E25" s="29"/>
      <c r="G25" s="62"/>
    </row>
    <row r="26" spans="1:10" ht="33" customHeight="1" x14ac:dyDescent="0.25">
      <c r="A26" s="31" t="s">
        <v>27</v>
      </c>
      <c r="B26" s="15">
        <f>B10*5%</f>
        <v>205099315.20000002</v>
      </c>
      <c r="C26" s="60"/>
      <c r="D26" s="42">
        <f>B26</f>
        <v>205099315.20000002</v>
      </c>
      <c r="E26" s="29"/>
      <c r="G26" s="62"/>
    </row>
    <row r="27" spans="1:10" ht="24" customHeight="1" x14ac:dyDescent="0.25">
      <c r="A27" s="6" t="s">
        <v>9</v>
      </c>
      <c r="B27" s="37">
        <f>SUM(B12:B26)</f>
        <v>4101986303.9999986</v>
      </c>
      <c r="C27" s="37">
        <f>SUM(C12:C26)</f>
        <v>1016201696</v>
      </c>
      <c r="D27" s="37">
        <f>SUM(D12:D26)</f>
        <v>4246980654.3999991</v>
      </c>
      <c r="E27" s="18"/>
      <c r="G27" s="62"/>
    </row>
    <row r="28" spans="1:10" ht="44.25" x14ac:dyDescent="0.3">
      <c r="A28" s="36" t="s">
        <v>28</v>
      </c>
      <c r="B28" s="16"/>
      <c r="C28" s="36" t="s">
        <v>29</v>
      </c>
      <c r="D28" s="36" t="s">
        <v>30</v>
      </c>
      <c r="E28" s="18"/>
      <c r="G28" s="62"/>
    </row>
    <row r="29" spans="1:10" ht="21.75" customHeight="1" x14ac:dyDescent="0.25">
      <c r="A29" s="6" t="s">
        <v>31</v>
      </c>
      <c r="B29" s="7">
        <f>B4</f>
        <v>5304000000</v>
      </c>
      <c r="C29" s="8"/>
      <c r="D29" s="12"/>
      <c r="F29" t="s">
        <v>33</v>
      </c>
      <c r="G29" s="62" t="s">
        <v>34</v>
      </c>
    </row>
    <row r="30" spans="1:10" ht="21.75" customHeight="1" x14ac:dyDescent="0.25">
      <c r="A30" s="6" t="s">
        <v>19</v>
      </c>
      <c r="B30" s="7">
        <f>B29*2%</f>
        <v>106080000</v>
      </c>
      <c r="C30" s="8"/>
      <c r="D30" s="34"/>
      <c r="E30" s="19" t="s">
        <v>5</v>
      </c>
      <c r="F30" s="8">
        <f>B34*10%*16%*30/365</f>
        <v>5394392.947726028</v>
      </c>
      <c r="G30" s="61">
        <f>C34*25%*16%*30/365</f>
        <v>3340937.0827397262</v>
      </c>
    </row>
    <row r="31" spans="1:10" ht="21.75" customHeight="1" x14ac:dyDescent="0.25">
      <c r="A31" s="6" t="s">
        <v>20</v>
      </c>
      <c r="B31" s="7">
        <f>B29-B30</f>
        <v>5197920000</v>
      </c>
      <c r="C31" s="11"/>
      <c r="D31" s="19"/>
      <c r="E31" s="19" t="s">
        <v>6</v>
      </c>
      <c r="F31" s="8">
        <f>B34*10%*16%*60/365</f>
        <v>10788785.895452056</v>
      </c>
      <c r="G31" s="61">
        <f>C34*25%*16%*60/365</f>
        <v>6681874.1654794523</v>
      </c>
    </row>
    <row r="32" spans="1:10" ht="21.75" customHeight="1" x14ac:dyDescent="0.25">
      <c r="A32" s="6" t="s">
        <v>10</v>
      </c>
      <c r="B32" s="7">
        <f>B7</f>
        <v>4101986304</v>
      </c>
      <c r="C32" s="8">
        <f>C7</f>
        <v>1095951696</v>
      </c>
      <c r="D32" s="8" t="s">
        <v>21</v>
      </c>
      <c r="E32" s="19" t="s">
        <v>7</v>
      </c>
      <c r="F32" s="8">
        <f>B34*10%*16%*90/365</f>
        <v>16183178.843178082</v>
      </c>
      <c r="G32" s="61">
        <f>C34*25%*16%*90/365</f>
        <v>10022811.248219179</v>
      </c>
    </row>
    <row r="33" spans="1:8" ht="21.75" customHeight="1" x14ac:dyDescent="0.25">
      <c r="A33" s="6" t="s">
        <v>18</v>
      </c>
      <c r="B33" s="10">
        <f>B8</f>
        <v>79750000</v>
      </c>
      <c r="C33" s="8"/>
      <c r="D33" s="24"/>
      <c r="E33" s="19" t="s">
        <v>8</v>
      </c>
      <c r="F33" s="8">
        <f>B34*10%*16%*120/365</f>
        <v>21577571.790904112</v>
      </c>
      <c r="G33" s="61">
        <f>C34*20%*16%*120/365</f>
        <v>10690998.664767124</v>
      </c>
    </row>
    <row r="34" spans="1:8" ht="21.75" customHeight="1" x14ac:dyDescent="0.25">
      <c r="A34" s="6" t="s">
        <v>3</v>
      </c>
      <c r="B34" s="7">
        <f>B32</f>
        <v>4101986304</v>
      </c>
      <c r="C34" s="15">
        <f>C32-B33</f>
        <v>1016201696</v>
      </c>
      <c r="D34" s="24" t="s">
        <v>21</v>
      </c>
      <c r="E34" s="19" t="s">
        <v>12</v>
      </c>
      <c r="F34" s="8">
        <f>B34*5%*16%*150/365</f>
        <v>13485982.369315069</v>
      </c>
      <c r="G34" s="61"/>
    </row>
    <row r="35" spans="1:8" ht="21" customHeight="1" x14ac:dyDescent="0.25">
      <c r="A35" s="6" t="s">
        <v>32</v>
      </c>
      <c r="B35" s="10">
        <f>F43</f>
        <v>237353000</v>
      </c>
      <c r="C35" s="15">
        <f>G43</f>
        <v>30737000</v>
      </c>
      <c r="D35" s="24"/>
      <c r="E35" s="19" t="s">
        <v>13</v>
      </c>
      <c r="F35" s="8">
        <f>B34*5%*16%*180/365</f>
        <v>16183178.843178082</v>
      </c>
      <c r="G35" s="67"/>
    </row>
    <row r="36" spans="1:8" ht="21" customHeight="1" x14ac:dyDescent="0.25">
      <c r="A36" s="6" t="s">
        <v>11</v>
      </c>
      <c r="B36" s="14">
        <f>B34-B35</f>
        <v>3864633304</v>
      </c>
      <c r="C36" s="14">
        <f>C34-C35</f>
        <v>985464696</v>
      </c>
      <c r="D36" s="24" t="s">
        <v>21</v>
      </c>
      <c r="E36" s="19" t="s">
        <v>15</v>
      </c>
      <c r="F36" s="8">
        <f>B34*5%*16%*210/365</f>
        <v>18880375.317041099</v>
      </c>
      <c r="G36" s="67"/>
    </row>
    <row r="37" spans="1:8" ht="21" customHeight="1" x14ac:dyDescent="0.25">
      <c r="A37" s="6" t="s">
        <v>4</v>
      </c>
      <c r="B37" s="10">
        <v>50000000</v>
      </c>
      <c r="C37" s="11"/>
      <c r="D37" s="34">
        <v>50000000</v>
      </c>
      <c r="E37" s="19" t="s">
        <v>16</v>
      </c>
      <c r="F37" s="8">
        <f>B34*5%*16%*240/365</f>
        <v>21577571.790904112</v>
      </c>
      <c r="G37" s="67"/>
    </row>
    <row r="38" spans="1:8" ht="21" customHeight="1" x14ac:dyDescent="0.25">
      <c r="A38" s="6"/>
      <c r="B38" s="10"/>
      <c r="C38" s="11"/>
      <c r="D38" s="34"/>
      <c r="E38" s="19" t="s">
        <v>74</v>
      </c>
      <c r="F38" s="8">
        <f>B34*5%*16%*270/365</f>
        <v>24274768.264767125</v>
      </c>
      <c r="G38" s="63"/>
    </row>
    <row r="39" spans="1:8" ht="21" customHeight="1" x14ac:dyDescent="0.25">
      <c r="A39" s="6"/>
      <c r="B39" s="10"/>
      <c r="C39" s="11"/>
      <c r="D39" s="34"/>
      <c r="E39" s="19" t="s">
        <v>75</v>
      </c>
      <c r="F39" s="8">
        <f>B34*5%*16%*300/365</f>
        <v>26971964.738630138</v>
      </c>
      <c r="G39" s="63"/>
    </row>
    <row r="40" spans="1:8" ht="21" customHeight="1" x14ac:dyDescent="0.25">
      <c r="A40" s="6"/>
      <c r="B40" s="10"/>
      <c r="C40" s="11"/>
      <c r="D40" s="34"/>
      <c r="E40" s="19" t="s">
        <v>76</v>
      </c>
      <c r="F40" s="8">
        <f>B34*5%*16%*330/365</f>
        <v>29669161.212493155</v>
      </c>
      <c r="G40" s="63"/>
    </row>
    <row r="41" spans="1:8" ht="21" customHeight="1" x14ac:dyDescent="0.25">
      <c r="A41" s="6"/>
      <c r="B41" s="10"/>
      <c r="C41" s="11"/>
      <c r="D41" s="34"/>
      <c r="E41" s="19" t="s">
        <v>90</v>
      </c>
      <c r="F41" s="8">
        <f>B34*5%*16%*360/365</f>
        <v>32366357.686356165</v>
      </c>
      <c r="G41" s="63"/>
    </row>
    <row r="42" spans="1:8" ht="29.25" x14ac:dyDescent="0.25">
      <c r="A42" s="31" t="s">
        <v>35</v>
      </c>
      <c r="B42" s="15">
        <f>(B36*95%)-B37</f>
        <v>3621401638.7999997</v>
      </c>
      <c r="C42" s="8">
        <f>C36*95%</f>
        <v>936191461.19999993</v>
      </c>
      <c r="D42" s="35">
        <f>B42+C42</f>
        <v>4557593100</v>
      </c>
      <c r="E42" s="43"/>
      <c r="F42" s="13">
        <f>SUM(F30:F41)</f>
        <v>237353289.69994524</v>
      </c>
      <c r="G42" s="68">
        <f>SUM(G30:G37)</f>
        <v>30736621.161205482</v>
      </c>
    </row>
    <row r="43" spans="1:8" ht="43.5" customHeight="1" x14ac:dyDescent="0.25">
      <c r="A43" s="31" t="s">
        <v>36</v>
      </c>
      <c r="B43" s="14">
        <f>B36*5%</f>
        <v>193231665.20000002</v>
      </c>
      <c r="C43" s="15">
        <f>C36*5%</f>
        <v>49273234.800000004</v>
      </c>
      <c r="D43" s="35">
        <f>B43+C43</f>
        <v>242504900.00000003</v>
      </c>
      <c r="E43" s="29"/>
      <c r="F43" s="13">
        <f>ROUND(F42,-3)</f>
        <v>237353000</v>
      </c>
      <c r="G43" s="68">
        <f>ROUND(G42,-3)</f>
        <v>30737000</v>
      </c>
      <c r="H43" s="25"/>
    </row>
    <row r="44" spans="1:8" ht="22.5" customHeight="1" x14ac:dyDescent="0.25">
      <c r="A44" s="6" t="s">
        <v>9</v>
      </c>
      <c r="B44" s="10">
        <f>SUM(B37:B43)</f>
        <v>3864633303.9999995</v>
      </c>
      <c r="C44" s="10">
        <f>SUM(C37:C43)</f>
        <v>985464695.99999988</v>
      </c>
      <c r="D44" s="10">
        <f>SUM(D37:D43)</f>
        <v>4850098000</v>
      </c>
      <c r="E44" s="29"/>
      <c r="F44" s="12"/>
      <c r="G44" s="63"/>
      <c r="H44" s="25"/>
    </row>
    <row r="45" spans="1:8" x14ac:dyDescent="0.25">
      <c r="E45" s="29"/>
      <c r="F45" s="12"/>
      <c r="G45" s="69"/>
      <c r="H45" s="25"/>
    </row>
    <row r="46" spans="1:8" x14ac:dyDescent="0.25">
      <c r="F46" s="56">
        <f>E10-F43-G43</f>
        <v>4850098000</v>
      </c>
    </row>
    <row r="47" spans="1:8" x14ac:dyDescent="0.25">
      <c r="F47" s="13"/>
    </row>
  </sheetData>
  <mergeCells count="1">
    <mergeCell ref="A1:C1"/>
  </mergeCells>
  <pageMargins left="0.7" right="0.7" top="0.75" bottom="0.75" header="0.3" footer="0.3"/>
  <pageSetup paperSize="9" orientation="portrait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17" workbookViewId="0">
      <selection activeCell="A18" sqref="A18"/>
    </sheetView>
  </sheetViews>
  <sheetFormatPr defaultRowHeight="15" x14ac:dyDescent="0.25"/>
  <cols>
    <col min="1" max="1" width="47.7109375" customWidth="1"/>
    <col min="2" max="2" width="17.5703125" bestFit="1" customWidth="1"/>
    <col min="3" max="3" width="27.28515625" customWidth="1"/>
    <col min="4" max="4" width="27.85546875" customWidth="1"/>
    <col min="5" max="5" width="39.5703125" bestFit="1" customWidth="1"/>
    <col min="6" max="6" width="15.28515625" bestFit="1" customWidth="1"/>
    <col min="7" max="7" width="12.28515625" customWidth="1"/>
    <col min="8" max="8" width="14" bestFit="1" customWidth="1"/>
    <col min="9" max="9" width="39.5703125" bestFit="1" customWidth="1"/>
  </cols>
  <sheetData>
    <row r="1" spans="1:10" ht="20.25" x14ac:dyDescent="0.25">
      <c r="A1" s="73" t="s">
        <v>17</v>
      </c>
      <c r="B1" s="73"/>
      <c r="C1" s="73"/>
      <c r="D1" s="32"/>
      <c r="G1" s="1"/>
    </row>
    <row r="2" spans="1:10" ht="22.5" customHeight="1" x14ac:dyDescent="0.25">
      <c r="A2" s="2" t="s">
        <v>0</v>
      </c>
      <c r="B2" s="3" t="s">
        <v>40</v>
      </c>
      <c r="C2" s="4" t="s">
        <v>41</v>
      </c>
      <c r="D2" s="33"/>
      <c r="G2" s="1"/>
    </row>
    <row r="3" spans="1:10" ht="22.5" customHeight="1" x14ac:dyDescent="0.25">
      <c r="A3" s="2" t="s">
        <v>1</v>
      </c>
      <c r="B3" s="5">
        <v>31200000</v>
      </c>
      <c r="C3" s="4"/>
      <c r="D3" s="33"/>
      <c r="G3" s="1"/>
    </row>
    <row r="4" spans="1:10" ht="22.5" customHeight="1" x14ac:dyDescent="0.25">
      <c r="A4" s="6" t="s">
        <v>31</v>
      </c>
      <c r="B4" s="7">
        <f>B3*152</f>
        <v>4742400000</v>
      </c>
      <c r="C4" s="8">
        <v>1688600000</v>
      </c>
      <c r="D4" s="24" t="s">
        <v>42</v>
      </c>
      <c r="E4" s="1"/>
      <c r="F4" s="1"/>
      <c r="G4" s="9"/>
    </row>
    <row r="5" spans="1:10" ht="22.5" customHeight="1" x14ac:dyDescent="0.25">
      <c r="A5" s="6" t="s">
        <v>19</v>
      </c>
      <c r="B5" s="7">
        <f>B4*2%</f>
        <v>94848000</v>
      </c>
      <c r="C5" s="23"/>
      <c r="D5" s="12"/>
      <c r="E5" s="1"/>
      <c r="F5" s="1"/>
      <c r="G5" s="9"/>
    </row>
    <row r="6" spans="1:10" ht="22.5" customHeight="1" x14ac:dyDescent="0.25">
      <c r="A6" s="6" t="s">
        <v>20</v>
      </c>
      <c r="B6" s="7">
        <f>B4-B5</f>
        <v>4647552000</v>
      </c>
      <c r="C6" s="23"/>
      <c r="D6" s="12"/>
      <c r="E6" s="1"/>
      <c r="F6" s="1"/>
      <c r="G6" s="9"/>
    </row>
    <row r="7" spans="1:10" ht="22.5" customHeight="1" x14ac:dyDescent="0.25">
      <c r="A7" s="6" t="s">
        <v>10</v>
      </c>
      <c r="B7" s="7">
        <v>3667658342</v>
      </c>
      <c r="C7" s="8">
        <v>1688600000</v>
      </c>
      <c r="D7" s="24" t="s">
        <v>42</v>
      </c>
      <c r="E7" s="12"/>
      <c r="F7" s="22"/>
      <c r="G7" s="9"/>
      <c r="H7" s="25"/>
      <c r="I7" s="25"/>
      <c r="J7" s="25"/>
    </row>
    <row r="8" spans="1:10" ht="22.5" customHeight="1" x14ac:dyDescent="0.25">
      <c r="A8" s="6"/>
      <c r="B8" s="8"/>
      <c r="C8" s="8">
        <v>979893658</v>
      </c>
      <c r="D8" s="24" t="s">
        <v>21</v>
      </c>
      <c r="E8" s="12"/>
      <c r="F8" s="22"/>
      <c r="G8" s="9"/>
      <c r="H8" s="25"/>
      <c r="I8" s="25"/>
      <c r="J8" s="25"/>
    </row>
    <row r="9" spans="1:10" ht="21.75" customHeight="1" x14ac:dyDescent="0.25">
      <c r="A9" s="6" t="s">
        <v>18</v>
      </c>
      <c r="B9" s="10">
        <f>2*14500000</f>
        <v>29000000</v>
      </c>
      <c r="C9" s="11"/>
      <c r="D9" s="29"/>
      <c r="E9" s="21"/>
      <c r="F9" s="12"/>
      <c r="G9" s="9"/>
      <c r="H9" s="38"/>
      <c r="I9" s="25"/>
      <c r="J9" s="25"/>
    </row>
    <row r="10" spans="1:10" ht="24" hidden="1" customHeight="1" x14ac:dyDescent="0.25">
      <c r="A10" s="6" t="s">
        <v>2</v>
      </c>
      <c r="B10" s="10">
        <f>ROUND((B7+C7+C8-B9)*0%,-3)</f>
        <v>0</v>
      </c>
      <c r="C10" s="11"/>
      <c r="D10" s="29"/>
      <c r="E10" s="12"/>
      <c r="F10" s="12"/>
      <c r="G10" s="12"/>
      <c r="H10" s="39"/>
      <c r="I10" s="25"/>
      <c r="J10" s="25"/>
    </row>
    <row r="11" spans="1:10" ht="22.5" customHeight="1" x14ac:dyDescent="0.25">
      <c r="A11" s="6" t="s">
        <v>3</v>
      </c>
      <c r="B11" s="14">
        <f>B7</f>
        <v>3667658342</v>
      </c>
      <c r="C11" s="15">
        <f>C7</f>
        <v>1688600000</v>
      </c>
      <c r="D11" s="24" t="s">
        <v>42</v>
      </c>
      <c r="E11" s="12"/>
      <c r="F11" s="25"/>
      <c r="G11" s="12"/>
      <c r="H11" s="25"/>
      <c r="I11" s="25"/>
      <c r="J11" s="25"/>
    </row>
    <row r="12" spans="1:10" ht="22.5" customHeight="1" x14ac:dyDescent="0.25">
      <c r="A12" s="6"/>
      <c r="B12" s="14"/>
      <c r="C12" s="15">
        <f>C8-B9</f>
        <v>950893658</v>
      </c>
      <c r="D12" s="24" t="s">
        <v>21</v>
      </c>
      <c r="E12" s="12"/>
      <c r="F12" s="25"/>
      <c r="G12" s="12"/>
      <c r="H12" s="25"/>
      <c r="I12" s="25"/>
      <c r="J12" s="25"/>
    </row>
    <row r="13" spans="1:10" ht="35.25" customHeight="1" x14ac:dyDescent="0.3">
      <c r="A13" s="36" t="s">
        <v>23</v>
      </c>
      <c r="B13" s="16"/>
      <c r="C13" s="36" t="s">
        <v>24</v>
      </c>
      <c r="D13" s="36" t="s">
        <v>22</v>
      </c>
      <c r="E13" s="30"/>
      <c r="F13" s="25"/>
      <c r="G13" s="30"/>
      <c r="H13" s="30"/>
      <c r="I13" s="30"/>
      <c r="J13" s="25"/>
    </row>
    <row r="14" spans="1:10" ht="31.5" customHeight="1" x14ac:dyDescent="0.3">
      <c r="A14" s="31" t="s">
        <v>25</v>
      </c>
      <c r="B14" s="10">
        <v>100000000</v>
      </c>
      <c r="C14" s="11"/>
      <c r="D14" s="14">
        <f>B14</f>
        <v>100000000</v>
      </c>
      <c r="E14" s="26"/>
      <c r="F14" s="25"/>
      <c r="G14" s="30"/>
      <c r="H14" s="30"/>
      <c r="I14" s="30"/>
      <c r="J14" s="25"/>
    </row>
    <row r="15" spans="1:10" ht="44.25" x14ac:dyDescent="0.25">
      <c r="A15" s="31" t="s">
        <v>43</v>
      </c>
      <c r="B15" s="15">
        <f>((B11+C11)*20%)-B14</f>
        <v>971251668.4000001</v>
      </c>
      <c r="C15" s="15">
        <f>C12*35%</f>
        <v>332812780.29999995</v>
      </c>
      <c r="D15" s="15">
        <f>B15+C15</f>
        <v>1304064448.7</v>
      </c>
      <c r="E15" s="26"/>
      <c r="F15" s="25"/>
      <c r="G15" s="27"/>
      <c r="H15" s="28"/>
      <c r="I15" s="26"/>
      <c r="J15" s="25"/>
    </row>
    <row r="16" spans="1:10" ht="58.5" x14ac:dyDescent="0.25">
      <c r="A16" s="31" t="s">
        <v>39</v>
      </c>
      <c r="B16" s="15">
        <f>(B11+C11)*10%</f>
        <v>535625834.20000005</v>
      </c>
      <c r="C16" s="15">
        <f>C12*30%</f>
        <v>285268097.39999998</v>
      </c>
      <c r="D16" s="15">
        <f t="shared" ref="D16:D17" si="0">B16+C16</f>
        <v>820893931.60000002</v>
      </c>
      <c r="E16" s="29"/>
      <c r="F16" s="25"/>
      <c r="G16" s="27"/>
      <c r="H16" s="28"/>
      <c r="I16" s="29"/>
      <c r="J16" s="25"/>
    </row>
    <row r="17" spans="1:12" ht="60" customHeight="1" x14ac:dyDescent="0.25">
      <c r="A17" s="46" t="s">
        <v>38</v>
      </c>
      <c r="B17" s="15">
        <f>(B11+C11)*10%</f>
        <v>535625834.20000005</v>
      </c>
      <c r="C17" s="15">
        <f>C12*30%</f>
        <v>285268097.39999998</v>
      </c>
      <c r="D17" s="15">
        <f t="shared" si="0"/>
        <v>820893931.60000002</v>
      </c>
      <c r="E17" s="29"/>
      <c r="F17" s="25"/>
      <c r="G17" s="27"/>
      <c r="H17" s="28"/>
      <c r="I17" s="29"/>
      <c r="J17" s="25"/>
    </row>
    <row r="18" spans="1:12" ht="49.5" customHeight="1" x14ac:dyDescent="0.25">
      <c r="A18" s="31" t="s">
        <v>48</v>
      </c>
      <c r="B18" s="15">
        <f>(B11+C11)*10%</f>
        <v>535625834.20000005</v>
      </c>
      <c r="C18" s="74">
        <f>C12*5%</f>
        <v>47544682.900000006</v>
      </c>
      <c r="D18" s="42">
        <f>B18+C18</f>
        <v>583170517.10000002</v>
      </c>
      <c r="E18" s="29"/>
      <c r="F18" s="25"/>
      <c r="G18" s="27"/>
      <c r="H18" s="28"/>
      <c r="I18" s="29"/>
      <c r="J18" s="25"/>
      <c r="K18" s="25"/>
      <c r="L18" s="25"/>
    </row>
    <row r="19" spans="1:12" ht="31.5" customHeight="1" x14ac:dyDescent="0.25">
      <c r="A19" s="31" t="s">
        <v>44</v>
      </c>
      <c r="B19" s="15">
        <f>(B11+C11)*5%</f>
        <v>267812917.10000002</v>
      </c>
      <c r="C19" s="75"/>
      <c r="D19" s="42">
        <f t="shared" ref="D19:D23" si="1">B19</f>
        <v>267812917.10000002</v>
      </c>
      <c r="E19" s="29"/>
      <c r="F19" s="25"/>
      <c r="G19" s="27"/>
      <c r="H19" s="40"/>
      <c r="I19" s="29"/>
      <c r="J19" s="25"/>
    </row>
    <row r="20" spans="1:12" ht="31.5" customHeight="1" x14ac:dyDescent="0.25">
      <c r="A20" s="31" t="s">
        <v>45</v>
      </c>
      <c r="B20" s="15">
        <f>(B11+C11)*5%</f>
        <v>267812917.10000002</v>
      </c>
      <c r="C20" s="75"/>
      <c r="D20" s="42">
        <f t="shared" si="1"/>
        <v>267812917.10000002</v>
      </c>
      <c r="E20" s="29"/>
      <c r="F20" s="25"/>
      <c r="G20" s="41"/>
      <c r="H20" s="25"/>
      <c r="I20" s="25"/>
      <c r="J20" s="25"/>
    </row>
    <row r="21" spans="1:12" ht="34.5" customHeight="1" x14ac:dyDescent="0.25">
      <c r="A21" s="31" t="s">
        <v>46</v>
      </c>
      <c r="B21" s="15">
        <f>(B11+C11)*5%</f>
        <v>267812917.10000002</v>
      </c>
      <c r="C21" s="75"/>
      <c r="D21" s="42">
        <f t="shared" si="1"/>
        <v>267812917.10000002</v>
      </c>
      <c r="E21" s="29"/>
      <c r="G21" s="17"/>
    </row>
    <row r="22" spans="1:12" ht="33" customHeight="1" x14ac:dyDescent="0.25">
      <c r="A22" s="31" t="s">
        <v>49</v>
      </c>
      <c r="B22" s="15">
        <f>(B11+C11)*5%</f>
        <v>267812917.10000002</v>
      </c>
      <c r="C22" s="75"/>
      <c r="D22" s="42">
        <f t="shared" si="1"/>
        <v>267812917.10000002</v>
      </c>
      <c r="E22" s="29"/>
      <c r="G22" s="17"/>
    </row>
    <row r="23" spans="1:12" ht="32.25" customHeight="1" x14ac:dyDescent="0.25">
      <c r="A23" s="31" t="s">
        <v>47</v>
      </c>
      <c r="B23" s="15">
        <f>(B11+C11)*25%</f>
        <v>1339064585.5</v>
      </c>
      <c r="C23" s="75"/>
      <c r="D23" s="42">
        <f t="shared" si="1"/>
        <v>1339064585.5</v>
      </c>
      <c r="E23" s="29"/>
      <c r="G23" s="17"/>
    </row>
    <row r="24" spans="1:12" ht="33" customHeight="1" x14ac:dyDescent="0.25">
      <c r="A24" s="31" t="s">
        <v>27</v>
      </c>
      <c r="B24" s="15">
        <f>(B11+C11)*5%</f>
        <v>267812917.10000002</v>
      </c>
      <c r="C24" s="76"/>
      <c r="D24" s="42">
        <f>B24</f>
        <v>267812917.10000002</v>
      </c>
      <c r="E24" s="29"/>
      <c r="G24" s="17"/>
    </row>
    <row r="25" spans="1:12" ht="24" customHeight="1" x14ac:dyDescent="0.25">
      <c r="A25" s="6" t="s">
        <v>9</v>
      </c>
      <c r="B25" s="37">
        <f>SUM(B14:B24)</f>
        <v>5356258342</v>
      </c>
      <c r="C25" s="37">
        <f>SUM(C14:C24)</f>
        <v>950893657.99999988</v>
      </c>
      <c r="D25" s="37">
        <f>SUM(D14:D24)</f>
        <v>6307152000.000001</v>
      </c>
      <c r="E25" s="18"/>
      <c r="G25" s="17"/>
    </row>
    <row r="26" spans="1:12" ht="44.25" x14ac:dyDescent="0.3">
      <c r="A26" s="36" t="s">
        <v>28</v>
      </c>
      <c r="B26" s="16"/>
      <c r="C26" s="36" t="s">
        <v>29</v>
      </c>
      <c r="D26" s="36" t="s">
        <v>30</v>
      </c>
      <c r="E26" s="18"/>
      <c r="G26" s="17"/>
    </row>
    <row r="27" spans="1:12" ht="21.75" customHeight="1" x14ac:dyDescent="0.25">
      <c r="A27" s="6" t="s">
        <v>31</v>
      </c>
      <c r="B27" s="7">
        <f>B4</f>
        <v>4742400000</v>
      </c>
      <c r="C27" s="8">
        <v>1688600000</v>
      </c>
      <c r="D27" s="24" t="s">
        <v>42</v>
      </c>
      <c r="F27" t="s">
        <v>33</v>
      </c>
      <c r="G27" s="17" t="s">
        <v>34</v>
      </c>
    </row>
    <row r="28" spans="1:12" ht="21.75" customHeight="1" x14ac:dyDescent="0.25">
      <c r="A28" s="6" t="s">
        <v>19</v>
      </c>
      <c r="B28" s="7">
        <f>B27*2%</f>
        <v>94848000</v>
      </c>
      <c r="C28" s="8"/>
      <c r="D28" s="34"/>
      <c r="E28" s="19" t="s">
        <v>5</v>
      </c>
      <c r="F28" s="8">
        <f>(B33+C33)*10%*16%*45/365</f>
        <v>10565769.88010959</v>
      </c>
      <c r="G28" s="44">
        <f>C34*30%*16%*30/365</f>
        <v>3751470.8699178081</v>
      </c>
    </row>
    <row r="29" spans="1:12" ht="21.75" customHeight="1" x14ac:dyDescent="0.25">
      <c r="A29" s="6" t="s">
        <v>20</v>
      </c>
      <c r="B29" s="7">
        <f>B27-B28</f>
        <v>4647552000</v>
      </c>
      <c r="C29" s="11"/>
      <c r="D29" s="19"/>
      <c r="E29" s="19" t="s">
        <v>6</v>
      </c>
      <c r="F29" s="8">
        <f>(B33+C33)*10%*16%*90/365</f>
        <v>21131539.760219179</v>
      </c>
      <c r="G29" s="44">
        <f>C34*30%*16%*60/365</f>
        <v>7502941.7398356162</v>
      </c>
    </row>
    <row r="30" spans="1:12" ht="21.75" customHeight="1" x14ac:dyDescent="0.25">
      <c r="A30" s="6" t="s">
        <v>10</v>
      </c>
      <c r="B30" s="7">
        <f>B7</f>
        <v>3667658342</v>
      </c>
      <c r="C30" s="8">
        <f>C7</f>
        <v>1688600000</v>
      </c>
      <c r="D30" s="24" t="s">
        <v>42</v>
      </c>
      <c r="E30" s="19" t="s">
        <v>7</v>
      </c>
      <c r="F30" s="8">
        <f>(B33+C33)*10%*16%*135/365</f>
        <v>31697309.640328769</v>
      </c>
      <c r="G30" s="45"/>
    </row>
    <row r="31" spans="1:12" ht="21.75" customHeight="1" x14ac:dyDescent="0.25">
      <c r="A31" s="6"/>
      <c r="B31" s="7"/>
      <c r="C31" s="8">
        <f>C8</f>
        <v>979893658</v>
      </c>
      <c r="D31" s="8" t="s">
        <v>21</v>
      </c>
      <c r="E31" s="19" t="s">
        <v>8</v>
      </c>
      <c r="F31" s="8">
        <f>(B33+C33)*5%*16%*180/365</f>
        <v>21131539.760219179</v>
      </c>
      <c r="G31" s="45"/>
    </row>
    <row r="32" spans="1:12" ht="21.75" customHeight="1" x14ac:dyDescent="0.25">
      <c r="A32" s="6" t="s">
        <v>18</v>
      </c>
      <c r="B32" s="10">
        <f>2*14500000</f>
        <v>29000000</v>
      </c>
      <c r="C32" s="8"/>
      <c r="D32" s="24"/>
      <c r="E32" s="19" t="s">
        <v>12</v>
      </c>
      <c r="F32" s="8">
        <f>(B33+C33)*5%*16%*225/365</f>
        <v>26414424.700273972</v>
      </c>
      <c r="G32" s="45"/>
    </row>
    <row r="33" spans="1:8" ht="21.75" customHeight="1" x14ac:dyDescent="0.25">
      <c r="A33" s="6" t="s">
        <v>3</v>
      </c>
      <c r="B33" s="7">
        <f>B30</f>
        <v>3667658342</v>
      </c>
      <c r="C33" s="8">
        <f>C30</f>
        <v>1688600000</v>
      </c>
      <c r="D33" s="24" t="s">
        <v>42</v>
      </c>
      <c r="E33" s="19" t="s">
        <v>13</v>
      </c>
      <c r="F33" s="8">
        <f>(B33+C33)*5%*16%*270/365</f>
        <v>31697309.640328769</v>
      </c>
      <c r="G33" s="45"/>
    </row>
    <row r="34" spans="1:8" ht="21.75" customHeight="1" x14ac:dyDescent="0.25">
      <c r="A34" s="6"/>
      <c r="B34" s="7"/>
      <c r="C34" s="15">
        <f>C31-B32</f>
        <v>950893658</v>
      </c>
      <c r="D34" s="24" t="s">
        <v>21</v>
      </c>
      <c r="E34" s="19" t="s">
        <v>15</v>
      </c>
      <c r="F34" s="8">
        <f>(B33+C33)*5%*16%*300/365</f>
        <v>35219232.933698632</v>
      </c>
      <c r="G34" s="45"/>
    </row>
    <row r="35" spans="1:8" ht="21" customHeight="1" x14ac:dyDescent="0.25">
      <c r="A35" s="6" t="s">
        <v>32</v>
      </c>
      <c r="B35" s="10">
        <f>F40</f>
        <v>0</v>
      </c>
      <c r="C35" s="15">
        <f>G40</f>
        <v>0</v>
      </c>
      <c r="D35" s="24"/>
      <c r="E35" s="19"/>
      <c r="F35" s="8"/>
      <c r="G35" s="8"/>
    </row>
    <row r="36" spans="1:8" ht="21" customHeight="1" x14ac:dyDescent="0.25">
      <c r="A36" s="6" t="s">
        <v>11</v>
      </c>
      <c r="B36" s="14">
        <f>(B33+C33)-B35</f>
        <v>5356258342</v>
      </c>
      <c r="C36" s="14">
        <f>C34-C35</f>
        <v>950893658</v>
      </c>
      <c r="D36" s="24" t="s">
        <v>21</v>
      </c>
      <c r="E36" s="19"/>
      <c r="F36" s="8"/>
      <c r="G36" s="8"/>
    </row>
    <row r="37" spans="1:8" ht="21" customHeight="1" x14ac:dyDescent="0.25">
      <c r="A37" s="6" t="s">
        <v>4</v>
      </c>
      <c r="B37" s="10">
        <v>50000000</v>
      </c>
      <c r="C37" s="11"/>
      <c r="D37" s="34">
        <v>50000000</v>
      </c>
      <c r="E37" s="19"/>
      <c r="F37" s="8"/>
      <c r="G37" s="8"/>
    </row>
    <row r="38" spans="1:8" ht="29.25" x14ac:dyDescent="0.25">
      <c r="A38" s="31" t="s">
        <v>50</v>
      </c>
      <c r="B38" s="15">
        <f>(B36*70%)-B37</f>
        <v>3699380839.3999996</v>
      </c>
      <c r="C38" s="8">
        <f>C36*95%</f>
        <v>903348975.0999999</v>
      </c>
      <c r="D38" s="35">
        <f>B38+C38</f>
        <v>4602729814.5</v>
      </c>
      <c r="E38" s="43"/>
      <c r="F38" s="13">
        <f>SUM(F28:F37)</f>
        <v>177857126.3151781</v>
      </c>
      <c r="G38" s="13">
        <f>SUM(G28:G37)</f>
        <v>11254412.609753424</v>
      </c>
    </row>
    <row r="39" spans="1:8" ht="58.5" x14ac:dyDescent="0.25">
      <c r="A39" s="31" t="s">
        <v>51</v>
      </c>
      <c r="B39" s="15">
        <f>B36*25%</f>
        <v>1339064585.5</v>
      </c>
      <c r="C39" s="8">
        <f>C36*5%</f>
        <v>47544682.900000006</v>
      </c>
      <c r="D39" s="35">
        <f>B39+C39</f>
        <v>1386609268.4000001</v>
      </c>
      <c r="E39" s="29"/>
      <c r="F39" s="13">
        <f>ROUND(F38,-3)</f>
        <v>177857000</v>
      </c>
      <c r="G39" s="13">
        <f>ROUND(G38,-3)</f>
        <v>11254000</v>
      </c>
    </row>
    <row r="40" spans="1:8" ht="33.75" customHeight="1" x14ac:dyDescent="0.25">
      <c r="A40" s="31" t="s">
        <v>52</v>
      </c>
      <c r="B40" s="14">
        <f>B36*5%</f>
        <v>267812917.10000002</v>
      </c>
      <c r="C40" s="15"/>
      <c r="D40" s="35">
        <f>B40+C40</f>
        <v>267812917.10000002</v>
      </c>
      <c r="E40" s="29"/>
      <c r="F40" s="13"/>
      <c r="G40" s="13"/>
      <c r="H40" s="25"/>
    </row>
    <row r="41" spans="1:8" ht="22.5" customHeight="1" x14ac:dyDescent="0.25">
      <c r="A41" s="6" t="s">
        <v>9</v>
      </c>
      <c r="B41" s="10">
        <f>SUM(B37:B40)</f>
        <v>5356258342</v>
      </c>
      <c r="C41" s="10">
        <f>SUM(C37:C40)</f>
        <v>950893657.99999988</v>
      </c>
      <c r="D41" s="10">
        <f>SUM(D37:D40)</f>
        <v>6307152000</v>
      </c>
      <c r="E41" s="29"/>
      <c r="F41" s="12"/>
      <c r="G41" s="12"/>
      <c r="H41" s="25"/>
    </row>
    <row r="42" spans="1:8" x14ac:dyDescent="0.25">
      <c r="E42" s="29"/>
      <c r="F42" s="12"/>
      <c r="G42" s="25"/>
      <c r="H42" s="25"/>
    </row>
    <row r="43" spans="1:8" x14ac:dyDescent="0.25">
      <c r="F43" s="13"/>
    </row>
    <row r="44" spans="1:8" x14ac:dyDescent="0.25">
      <c r="F44" s="13"/>
    </row>
  </sheetData>
  <mergeCells count="2">
    <mergeCell ref="A1:C1"/>
    <mergeCell ref="C18:C24"/>
  </mergeCells>
  <pageMargins left="0.7" right="0.7" top="0.75" bottom="0.75" header="0.3" footer="0.3"/>
  <pageSetup paperSize="9"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B20" sqref="B20:C20"/>
    </sheetView>
  </sheetViews>
  <sheetFormatPr defaultRowHeight="15" x14ac:dyDescent="0.25"/>
  <cols>
    <col min="1" max="1" width="47.7109375" customWidth="1"/>
    <col min="2" max="2" width="17.5703125" bestFit="1" customWidth="1"/>
    <col min="3" max="3" width="27.28515625" customWidth="1"/>
    <col min="4" max="4" width="27.85546875" customWidth="1"/>
    <col min="5" max="5" width="39.5703125" bestFit="1" customWidth="1"/>
    <col min="6" max="6" width="15.28515625" bestFit="1" customWidth="1"/>
    <col min="7" max="7" width="12.28515625" customWidth="1"/>
    <col min="8" max="8" width="14" bestFit="1" customWidth="1"/>
    <col min="9" max="9" width="39.5703125" bestFit="1" customWidth="1"/>
  </cols>
  <sheetData>
    <row r="1" spans="1:10" ht="20.25" x14ac:dyDescent="0.25">
      <c r="A1" s="73" t="s">
        <v>17</v>
      </c>
      <c r="B1" s="73"/>
      <c r="C1" s="73"/>
      <c r="D1" s="32"/>
      <c r="G1" s="1"/>
    </row>
    <row r="2" spans="1:10" ht="22.5" customHeight="1" x14ac:dyDescent="0.25">
      <c r="A2" s="2" t="s">
        <v>0</v>
      </c>
      <c r="B2" s="3" t="s">
        <v>40</v>
      </c>
      <c r="C2" s="4" t="s">
        <v>41</v>
      </c>
      <c r="D2" s="33"/>
      <c r="G2" s="1"/>
    </row>
    <row r="3" spans="1:10" ht="22.5" customHeight="1" x14ac:dyDescent="0.25">
      <c r="A3" s="2" t="s">
        <v>1</v>
      </c>
      <c r="B3" s="5">
        <v>31200000</v>
      </c>
      <c r="C3" s="4"/>
      <c r="D3" s="33"/>
      <c r="G3" s="1"/>
    </row>
    <row r="4" spans="1:10" ht="22.5" customHeight="1" x14ac:dyDescent="0.25">
      <c r="A4" s="6" t="s">
        <v>31</v>
      </c>
      <c r="B4" s="7">
        <f>B3*152</f>
        <v>4742400000</v>
      </c>
      <c r="C4" s="8">
        <v>1688600000</v>
      </c>
      <c r="D4" s="24" t="s">
        <v>42</v>
      </c>
      <c r="E4" s="1"/>
      <c r="F4" s="1"/>
      <c r="G4" s="9"/>
    </row>
    <row r="5" spans="1:10" ht="22.5" customHeight="1" x14ac:dyDescent="0.25">
      <c r="A5" s="6" t="s">
        <v>19</v>
      </c>
      <c r="B5" s="7">
        <f>B4*2%</f>
        <v>94848000</v>
      </c>
      <c r="C5" s="23"/>
      <c r="D5" s="12"/>
      <c r="E5" s="1"/>
      <c r="F5" s="1"/>
      <c r="G5" s="9"/>
    </row>
    <row r="6" spans="1:10" ht="22.5" customHeight="1" x14ac:dyDescent="0.25">
      <c r="A6" s="6" t="s">
        <v>20</v>
      </c>
      <c r="B6" s="7">
        <f>B4-B5</f>
        <v>4647552000</v>
      </c>
      <c r="C6" s="23"/>
      <c r="D6" s="12"/>
      <c r="E6" s="1"/>
      <c r="F6" s="1"/>
      <c r="G6" s="9"/>
    </row>
    <row r="7" spans="1:10" ht="22.5" customHeight="1" x14ac:dyDescent="0.25">
      <c r="A7" s="6" t="s">
        <v>10</v>
      </c>
      <c r="B7" s="7">
        <v>3667658342</v>
      </c>
      <c r="C7" s="8">
        <v>1688600000</v>
      </c>
      <c r="D7" s="24" t="s">
        <v>42</v>
      </c>
      <c r="E7" s="12"/>
      <c r="F7" s="22"/>
      <c r="G7" s="9"/>
      <c r="H7" s="25"/>
      <c r="I7" s="25"/>
      <c r="J7" s="25"/>
    </row>
    <row r="8" spans="1:10" ht="22.5" customHeight="1" x14ac:dyDescent="0.25">
      <c r="A8" s="6"/>
      <c r="B8" s="8"/>
      <c r="C8" s="8">
        <v>979893658</v>
      </c>
      <c r="D8" s="24" t="s">
        <v>21</v>
      </c>
      <c r="E8" s="12"/>
      <c r="F8" s="22"/>
      <c r="G8" s="9"/>
      <c r="H8" s="25"/>
      <c r="I8" s="25"/>
      <c r="J8" s="25"/>
    </row>
    <row r="9" spans="1:10" ht="21.75" customHeight="1" x14ac:dyDescent="0.25">
      <c r="A9" s="6" t="s">
        <v>18</v>
      </c>
      <c r="B9" s="10">
        <f>2*14500000</f>
        <v>29000000</v>
      </c>
      <c r="C9" s="11"/>
      <c r="D9" s="29"/>
      <c r="E9" s="21"/>
      <c r="F9" s="12"/>
      <c r="G9" s="9"/>
      <c r="H9" s="38"/>
      <c r="I9" s="25"/>
      <c r="J9" s="25"/>
    </row>
    <row r="10" spans="1:10" ht="24" hidden="1" customHeight="1" x14ac:dyDescent="0.25">
      <c r="A10" s="6" t="s">
        <v>2</v>
      </c>
      <c r="B10" s="10">
        <f>ROUND((B7+C7+C8-B9)*0%,-3)</f>
        <v>0</v>
      </c>
      <c r="C10" s="11"/>
      <c r="D10" s="29"/>
      <c r="E10" s="12"/>
      <c r="F10" s="12"/>
      <c r="G10" s="12"/>
      <c r="H10" s="39"/>
      <c r="I10" s="25"/>
      <c r="J10" s="25"/>
    </row>
    <row r="11" spans="1:10" ht="22.5" customHeight="1" x14ac:dyDescent="0.25">
      <c r="A11" s="6" t="s">
        <v>3</v>
      </c>
      <c r="B11" s="14">
        <f>B7</f>
        <v>3667658342</v>
      </c>
      <c r="C11" s="15">
        <f>C7</f>
        <v>1688600000</v>
      </c>
      <c r="D11" s="24" t="s">
        <v>42</v>
      </c>
      <c r="E11" s="12"/>
      <c r="F11" s="25"/>
      <c r="G11" s="12"/>
      <c r="H11" s="25"/>
      <c r="I11" s="25"/>
      <c r="J11" s="25"/>
    </row>
    <row r="12" spans="1:10" ht="22.5" customHeight="1" x14ac:dyDescent="0.25">
      <c r="A12" s="6"/>
      <c r="B12" s="14"/>
      <c r="C12" s="15">
        <f>C8-B9</f>
        <v>950893658</v>
      </c>
      <c r="D12" s="24" t="s">
        <v>21</v>
      </c>
      <c r="E12" s="12"/>
      <c r="F12" s="25"/>
      <c r="G12" s="12"/>
      <c r="H12" s="25"/>
      <c r="I12" s="25"/>
      <c r="J12" s="25"/>
    </row>
    <row r="13" spans="1:10" ht="35.25" customHeight="1" x14ac:dyDescent="0.3">
      <c r="A13" s="36" t="s">
        <v>54</v>
      </c>
      <c r="B13" s="16"/>
      <c r="C13" s="36" t="s">
        <v>55</v>
      </c>
      <c r="D13" s="36" t="s">
        <v>22</v>
      </c>
      <c r="E13" s="30"/>
      <c r="F13" s="25"/>
      <c r="G13" s="30"/>
      <c r="H13" s="30"/>
      <c r="I13" s="30"/>
      <c r="J13" s="25"/>
    </row>
    <row r="14" spans="1:10" ht="31.5" customHeight="1" x14ac:dyDescent="0.3">
      <c r="A14" s="31" t="s">
        <v>25</v>
      </c>
      <c r="B14" s="10">
        <v>100000000</v>
      </c>
      <c r="C14" s="11"/>
      <c r="D14" s="14">
        <f>B14</f>
        <v>100000000</v>
      </c>
      <c r="E14" s="26"/>
      <c r="F14" s="25"/>
      <c r="G14" s="30"/>
      <c r="H14" s="30"/>
      <c r="I14" s="30"/>
      <c r="J14" s="25"/>
    </row>
    <row r="15" spans="1:10" ht="44.25" x14ac:dyDescent="0.25">
      <c r="A15" s="31" t="s">
        <v>43</v>
      </c>
      <c r="B15" s="15">
        <f>((B11+C11)*20%)-B14</f>
        <v>971251668.4000001</v>
      </c>
      <c r="C15" s="15">
        <f>C12*35%</f>
        <v>332812780.29999995</v>
      </c>
      <c r="D15" s="15">
        <f>B15+C15</f>
        <v>1304064448.7</v>
      </c>
      <c r="E15" s="26"/>
      <c r="F15" s="25"/>
      <c r="G15" s="27"/>
      <c r="H15" s="28"/>
      <c r="I15" s="26"/>
      <c r="J15" s="25"/>
    </row>
    <row r="16" spans="1:10" ht="58.5" x14ac:dyDescent="0.25">
      <c r="A16" s="31" t="s">
        <v>57</v>
      </c>
      <c r="B16" s="15">
        <f>(B11+C11)*10%</f>
        <v>535625834.20000005</v>
      </c>
      <c r="C16" s="15">
        <f>C12*30%</f>
        <v>285268097.39999998</v>
      </c>
      <c r="D16" s="15">
        <f t="shared" ref="D16:D17" si="0">B16+C16</f>
        <v>820893931.60000002</v>
      </c>
      <c r="E16" s="29"/>
      <c r="F16" s="25"/>
      <c r="G16" s="27"/>
      <c r="H16" s="28"/>
      <c r="I16" s="29"/>
      <c r="J16" s="25"/>
    </row>
    <row r="17" spans="1:10" ht="45" customHeight="1" x14ac:dyDescent="0.25">
      <c r="A17" s="46" t="s">
        <v>58</v>
      </c>
      <c r="B17" s="15">
        <f>(B11+C11)*40%</f>
        <v>2142503336.8000002</v>
      </c>
      <c r="C17" s="15">
        <f>C12*30%</f>
        <v>285268097.39999998</v>
      </c>
      <c r="D17" s="15">
        <f t="shared" si="0"/>
        <v>2427771434.2000003</v>
      </c>
      <c r="E17" s="29"/>
      <c r="F17" s="25"/>
      <c r="G17" s="27"/>
      <c r="H17" s="28"/>
      <c r="I17" s="29"/>
      <c r="J17" s="25"/>
    </row>
    <row r="18" spans="1:10" ht="60" x14ac:dyDescent="0.25">
      <c r="A18" s="31" t="s">
        <v>59</v>
      </c>
      <c r="B18" s="15">
        <f>(B11+C11)*25%</f>
        <v>1339064585.5</v>
      </c>
      <c r="C18" s="20">
        <f>C12*5%</f>
        <v>47544682.900000006</v>
      </c>
      <c r="D18" s="42">
        <f>B18+C18</f>
        <v>1386609268.4000001</v>
      </c>
      <c r="E18" s="29"/>
      <c r="G18" s="17"/>
    </row>
    <row r="19" spans="1:10" ht="33" customHeight="1" x14ac:dyDescent="0.25">
      <c r="A19" s="31" t="s">
        <v>27</v>
      </c>
      <c r="B19" s="15">
        <f>(B11+C11)*5%</f>
        <v>267812917.10000002</v>
      </c>
      <c r="C19" s="20"/>
      <c r="D19" s="42">
        <f>B19</f>
        <v>267812917.10000002</v>
      </c>
      <c r="E19" s="29"/>
      <c r="G19" s="17"/>
    </row>
    <row r="20" spans="1:10" ht="24" customHeight="1" x14ac:dyDescent="0.25">
      <c r="A20" s="6" t="s">
        <v>9</v>
      </c>
      <c r="B20" s="37">
        <f>SUM(B14:B19)</f>
        <v>5356258342.000001</v>
      </c>
      <c r="C20" s="37">
        <f>SUM(C14:C19)</f>
        <v>950893657.99999988</v>
      </c>
      <c r="D20" s="37">
        <f>SUM(D14:D19)</f>
        <v>6307152000</v>
      </c>
      <c r="E20" s="18"/>
      <c r="G20" s="17"/>
    </row>
    <row r="21" spans="1:10" x14ac:dyDescent="0.25">
      <c r="E21" s="29"/>
      <c r="F21" s="12"/>
      <c r="G21" s="25"/>
      <c r="H21" s="25"/>
    </row>
    <row r="22" spans="1:10" x14ac:dyDescent="0.25">
      <c r="F22" s="13"/>
    </row>
    <row r="23" spans="1:10" x14ac:dyDescent="0.25">
      <c r="F23" s="13"/>
    </row>
  </sheetData>
  <mergeCells count="1">
    <mergeCell ref="A1:C1"/>
  </mergeCells>
  <pageMargins left="0.7" right="0.7" top="0.75" bottom="0.75" header="0.3" footer="0.3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A1-C1 ĐẤT TB 06.2026</vt:lpstr>
      <vt:lpstr>ĐẤT VAY VỐN···</vt:lpstr>
      <vt:lpstr>A1-C1 ĐẤT-ĐẤT BT TB 06.2026 VAY</vt:lpstr>
      <vt:lpstr>A1-C1 ĐẤT BT TB 06.2026</vt:lpstr>
      <vt:lpstr>A1-C1 NXS TB 06.2026</vt:lpstr>
      <vt:lpstr>A1-C1 NXS TB 06.2026 VAY</vt:lpstr>
      <vt:lpstr>'A1-C1 ĐẤT TB 06.2026'!Print_Area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Dịu</dc:creator>
  <cp:lastModifiedBy>Admin</cp:lastModifiedBy>
  <cp:lastPrinted>2026-01-21T07:58:44Z</cp:lastPrinted>
  <dcterms:created xsi:type="dcterms:W3CDTF">2025-08-06T07:04:53Z</dcterms:created>
  <dcterms:modified xsi:type="dcterms:W3CDTF">2026-01-21T07:59:06Z</dcterms:modified>
</cp:coreProperties>
</file>